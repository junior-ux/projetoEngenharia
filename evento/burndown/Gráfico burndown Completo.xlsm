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EDILEYSONSILVA\Documents\CIENCIA DA COMPUTAÇÃO\PROJETO ENGENHARIA DE SOFTWARE\projetoEngenharia\"/>
    </mc:Choice>
  </mc:AlternateContent>
  <bookViews>
    <workbookView xWindow="0" yWindow="0" windowWidth="20490" windowHeight="7755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OFFSET(Atividades!$B$12,0,0,1,COUNT(Atividades!$B$12:$L$12))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C13" i="1" s="1"/>
  <c r="D13" i="1" s="1"/>
  <c r="E13" i="1" s="1"/>
  <c r="F13" i="1" s="1"/>
  <c r="G13" i="1" s="1"/>
  <c r="H13" i="1" s="1"/>
  <c r="I13" i="1" s="1"/>
  <c r="J13" i="1" s="1"/>
  <c r="K13" i="1" s="1"/>
  <c r="L13" i="1" s="1"/>
  <c r="B12" i="1"/>
  <c r="C12" i="1" s="1"/>
  <c r="D12" i="1" s="1"/>
  <c r="E12" i="1" s="1"/>
  <c r="F12" i="1" s="1"/>
  <c r="G12" i="1" s="1"/>
  <c r="H12" i="1" s="1"/>
  <c r="I12" i="1" s="1"/>
  <c r="J12" i="1" s="1"/>
  <c r="K12" i="1" s="1"/>
  <c r="L12" i="1" s="1"/>
</calcChain>
</file>

<file path=xl/sharedStrings.xml><?xml version="1.0" encoding="utf-8"?>
<sst xmlns="http://schemas.openxmlformats.org/spreadsheetml/2006/main" count="23" uniqueCount="23">
  <si>
    <t>Total de horas</t>
  </si>
  <si>
    <t>Restante</t>
  </si>
  <si>
    <t>Estimado</t>
  </si>
  <si>
    <t>Sprint I</t>
  </si>
  <si>
    <t>Sprint II</t>
  </si>
  <si>
    <t>Sprint III</t>
  </si>
  <si>
    <t>Sprint IV</t>
  </si>
  <si>
    <t>Sprint V</t>
  </si>
  <si>
    <t>Sprint VI</t>
  </si>
  <si>
    <t>Sprint VII</t>
  </si>
  <si>
    <t>Sprint VIII</t>
  </si>
  <si>
    <t>Sprint IX</t>
  </si>
  <si>
    <t>Sprint X</t>
  </si>
  <si>
    <t>Semana I</t>
  </si>
  <si>
    <t>Semana II</t>
  </si>
  <si>
    <t>Semana III</t>
  </si>
  <si>
    <t>Semana IV</t>
  </si>
  <si>
    <t>Semana V</t>
  </si>
  <si>
    <t>Semana VI</t>
  </si>
  <si>
    <t>Semana VII</t>
  </si>
  <si>
    <t>Semana VIII</t>
  </si>
  <si>
    <t>Semana IX</t>
  </si>
  <si>
    <t>Semana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</si>
</sst>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0" fillId="0" borderId="6" xfId="0" applyBorder="1"/>
    <xf numFmtId="0" fontId="1" fillId="0" borderId="7" xfId="0" applyFont="1" applyBorder="1"/>
    <xf numFmtId="0" fontId="0" fillId="0" borderId="8" xfId="0" applyBorder="1"/>
    <xf numFmtId="0" fontId="1" fillId="0" borderId="9" xfId="0" applyFont="1" applyBorder="1"/>
    <xf numFmtId="0" fontId="0" fillId="0" borderId="10" xfId="0" applyBorder="1"/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7"/>
                <c:pt idx="0">
                  <c:v>805</c:v>
                </c:pt>
                <c:pt idx="1">
                  <c:v>685</c:v>
                </c:pt>
                <c:pt idx="2">
                  <c:v>545</c:v>
                </c:pt>
                <c:pt idx="3">
                  <c:v>413</c:v>
                </c:pt>
                <c:pt idx="4">
                  <c:v>236</c:v>
                </c:pt>
                <c:pt idx="5">
                  <c:v>116</c:v>
                </c:pt>
                <c:pt idx="6">
                  <c:v>30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805</c:v>
                </c:pt>
                <c:pt idx="1">
                  <c:v>724.5</c:v>
                </c:pt>
                <c:pt idx="2">
                  <c:v>644</c:v>
                </c:pt>
                <c:pt idx="3">
                  <c:v>563.5</c:v>
                </c:pt>
                <c:pt idx="4">
                  <c:v>483</c:v>
                </c:pt>
                <c:pt idx="5">
                  <c:v>402.5</c:v>
                </c:pt>
                <c:pt idx="6">
                  <c:v>322</c:v>
                </c:pt>
                <c:pt idx="7">
                  <c:v>241.5</c:v>
                </c:pt>
                <c:pt idx="8">
                  <c:v>161</c:v>
                </c:pt>
                <c:pt idx="9">
                  <c:v>80.5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83741872"/>
        <c:axId val="183739520"/>
      </c:lineChart>
      <c:catAx>
        <c:axId val="18374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39520"/>
        <c:crosses val="autoZero"/>
        <c:auto val="1"/>
        <c:lblAlgn val="ctr"/>
        <c:lblOffset val="100"/>
        <c:noMultiLvlLbl val="0"/>
      </c:catAx>
      <c:valAx>
        <c:axId val="183739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4187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7"/>
                <c:pt idx="0">
                  <c:v>805</c:v>
                </c:pt>
                <c:pt idx="1">
                  <c:v>685</c:v>
                </c:pt>
                <c:pt idx="2">
                  <c:v>545</c:v>
                </c:pt>
                <c:pt idx="3">
                  <c:v>413</c:v>
                </c:pt>
                <c:pt idx="4">
                  <c:v>236</c:v>
                </c:pt>
                <c:pt idx="5">
                  <c:v>116</c:v>
                </c:pt>
                <c:pt idx="6">
                  <c:v>30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805</c:v>
                </c:pt>
                <c:pt idx="1">
                  <c:v>724.5</c:v>
                </c:pt>
                <c:pt idx="2">
                  <c:v>644</c:v>
                </c:pt>
                <c:pt idx="3">
                  <c:v>563.5</c:v>
                </c:pt>
                <c:pt idx="4">
                  <c:v>483</c:v>
                </c:pt>
                <c:pt idx="5">
                  <c:v>402.5</c:v>
                </c:pt>
                <c:pt idx="6">
                  <c:v>322</c:v>
                </c:pt>
                <c:pt idx="7">
                  <c:v>241.5</c:v>
                </c:pt>
                <c:pt idx="8">
                  <c:v>161</c:v>
                </c:pt>
                <c:pt idx="9">
                  <c:v>80.5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3739128"/>
        <c:axId val="183740304"/>
      </c:lineChart>
      <c:catAx>
        <c:axId val="18373912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40304"/>
        <c:crosses val="autoZero"/>
        <c:auto val="1"/>
        <c:lblAlgn val="ctr"/>
        <c:lblOffset val="100"/>
        <c:noMultiLvlLbl val="0"/>
      </c:catAx>
      <c:valAx>
        <c:axId val="1837403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39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7"/>
                <c:pt idx="0">
                  <c:v>805</c:v>
                </c:pt>
                <c:pt idx="1">
                  <c:v>685</c:v>
                </c:pt>
                <c:pt idx="2">
                  <c:v>545</c:v>
                </c:pt>
                <c:pt idx="3">
                  <c:v>413</c:v>
                </c:pt>
                <c:pt idx="4">
                  <c:v>236</c:v>
                </c:pt>
                <c:pt idx="5">
                  <c:v>116</c:v>
                </c:pt>
                <c:pt idx="6">
                  <c:v>30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805</c:v>
                </c:pt>
                <c:pt idx="1">
                  <c:v>724.5</c:v>
                </c:pt>
                <c:pt idx="2">
                  <c:v>644</c:v>
                </c:pt>
                <c:pt idx="3">
                  <c:v>563.5</c:v>
                </c:pt>
                <c:pt idx="4">
                  <c:v>483</c:v>
                </c:pt>
                <c:pt idx="5">
                  <c:v>402.5</c:v>
                </c:pt>
                <c:pt idx="6">
                  <c:v>322</c:v>
                </c:pt>
                <c:pt idx="7">
                  <c:v>241.5</c:v>
                </c:pt>
                <c:pt idx="8">
                  <c:v>161</c:v>
                </c:pt>
                <c:pt idx="9">
                  <c:v>80.5</c:v>
                </c:pt>
                <c:pt idx="1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3742656"/>
        <c:axId val="184803440"/>
      </c:lineChart>
      <c:catAx>
        <c:axId val="183742656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4803440"/>
        <c:crosses val="autoZero"/>
        <c:auto val="1"/>
        <c:lblAlgn val="ctr"/>
        <c:lblOffset val="100"/>
        <c:noMultiLvlLbl val="0"/>
      </c:catAx>
      <c:valAx>
        <c:axId val="1848034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4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0</xdr:row>
      <xdr:rowOff>161925</xdr:rowOff>
    </xdr:from>
    <xdr:to>
      <xdr:col>18</xdr:col>
      <xdr:colOff>419099</xdr:colOff>
      <xdr:row>14</xdr:row>
      <xdr:rowOff>9525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8"/>
  <sheetViews>
    <sheetView showGridLines="0" tabSelected="1" workbookViewId="0">
      <selection activeCell="H7" sqref="H7"/>
    </sheetView>
  </sheetViews>
  <sheetFormatPr defaultRowHeight="15" x14ac:dyDescent="0.25"/>
  <cols>
    <col min="1" max="1" width="9.7109375" bestFit="1" customWidth="1"/>
    <col min="2" max="2" width="13.5703125" bestFit="1" customWidth="1"/>
    <col min="3" max="3" width="9" bestFit="1" customWidth="1"/>
    <col min="4" max="4" width="9.5703125" bestFit="1" customWidth="1"/>
    <col min="5" max="5" width="10.140625" bestFit="1" customWidth="1"/>
    <col min="6" max="6" width="10.28515625" bestFit="1" customWidth="1"/>
    <col min="7" max="7" width="9.7109375" bestFit="1" customWidth="1"/>
    <col min="8" max="8" width="10.28515625" bestFit="1" customWidth="1"/>
    <col min="9" max="9" width="10.85546875" bestFit="1" customWidth="1"/>
    <col min="10" max="10" width="11.42578125" bestFit="1" customWidth="1"/>
    <col min="11" max="11" width="10.140625" bestFit="1" customWidth="1"/>
    <col min="12" max="12" width="12.7109375" bestFit="1" customWidth="1"/>
  </cols>
  <sheetData>
    <row r="1" spans="1:12" x14ac:dyDescent="0.25">
      <c r="B1" s="12" t="s">
        <v>0</v>
      </c>
      <c r="C1" s="13" t="s">
        <v>13</v>
      </c>
      <c r="D1" s="13" t="s">
        <v>14</v>
      </c>
      <c r="E1" s="13" t="s">
        <v>15</v>
      </c>
      <c r="F1" s="13" t="s">
        <v>16</v>
      </c>
      <c r="G1" s="13" t="s">
        <v>17</v>
      </c>
      <c r="H1" s="13" t="s">
        <v>18</v>
      </c>
      <c r="I1" s="13" t="s">
        <v>19</v>
      </c>
      <c r="J1" s="13" t="s">
        <v>20</v>
      </c>
      <c r="K1" s="13" t="s">
        <v>21</v>
      </c>
      <c r="L1" s="14" t="s">
        <v>22</v>
      </c>
    </row>
    <row r="2" spans="1:12" x14ac:dyDescent="0.25">
      <c r="A2" s="5" t="s">
        <v>3</v>
      </c>
      <c r="B2" s="6">
        <v>120</v>
      </c>
      <c r="C2" s="6">
        <v>120</v>
      </c>
      <c r="D2" s="6"/>
      <c r="E2" s="6"/>
      <c r="F2" s="6"/>
      <c r="G2" s="6"/>
      <c r="H2" s="6"/>
      <c r="I2" s="6"/>
      <c r="J2" s="6"/>
      <c r="K2" s="6"/>
      <c r="L2" s="7"/>
    </row>
    <row r="3" spans="1:12" x14ac:dyDescent="0.25">
      <c r="A3" s="8" t="s">
        <v>4</v>
      </c>
      <c r="B3" s="1">
        <v>140</v>
      </c>
      <c r="C3" s="1"/>
      <c r="D3" s="1">
        <v>140</v>
      </c>
      <c r="E3" s="1"/>
      <c r="F3" s="1"/>
      <c r="G3" s="1"/>
      <c r="H3" s="1"/>
      <c r="I3" s="1"/>
      <c r="J3" s="1"/>
      <c r="K3" s="1"/>
      <c r="L3" s="9"/>
    </row>
    <row r="4" spans="1:12" x14ac:dyDescent="0.25">
      <c r="A4" s="8" t="s">
        <v>5</v>
      </c>
      <c r="B4" s="1">
        <v>140</v>
      </c>
      <c r="C4" s="1"/>
      <c r="D4" s="1"/>
      <c r="E4" s="1">
        <v>132</v>
      </c>
      <c r="F4" s="1"/>
      <c r="G4" s="1"/>
      <c r="H4" s="1"/>
      <c r="I4" s="1"/>
      <c r="J4" s="1"/>
      <c r="K4" s="1"/>
      <c r="L4" s="9"/>
    </row>
    <row r="5" spans="1:12" x14ac:dyDescent="0.25">
      <c r="A5" s="8" t="s">
        <v>6</v>
      </c>
      <c r="B5" s="1">
        <v>177</v>
      </c>
      <c r="C5" s="1"/>
      <c r="D5" s="1"/>
      <c r="E5" s="1"/>
      <c r="F5" s="1">
        <v>177</v>
      </c>
      <c r="G5" s="1"/>
      <c r="H5" s="1"/>
      <c r="I5" s="1"/>
      <c r="J5" s="1"/>
      <c r="K5" s="1"/>
      <c r="L5" s="9"/>
    </row>
    <row r="6" spans="1:12" x14ac:dyDescent="0.25">
      <c r="A6" s="8" t="s">
        <v>7</v>
      </c>
      <c r="B6" s="1">
        <v>120</v>
      </c>
      <c r="C6" s="1"/>
      <c r="D6" s="1"/>
      <c r="E6" s="1"/>
      <c r="F6" s="1"/>
      <c r="G6" s="1">
        <v>120</v>
      </c>
      <c r="H6" s="1"/>
      <c r="I6" s="1"/>
      <c r="J6" s="1"/>
      <c r="K6" s="1"/>
      <c r="L6" s="9"/>
    </row>
    <row r="7" spans="1:12" x14ac:dyDescent="0.25">
      <c r="A7" s="8" t="s">
        <v>8</v>
      </c>
      <c r="B7" s="1">
        <v>108</v>
      </c>
      <c r="C7" s="1"/>
      <c r="D7" s="1"/>
      <c r="E7" s="1"/>
      <c r="F7" s="1"/>
      <c r="G7" s="1"/>
      <c r="H7" s="1">
        <v>86</v>
      </c>
      <c r="I7" s="1"/>
      <c r="J7" s="1"/>
      <c r="K7" s="1"/>
      <c r="L7" s="9"/>
    </row>
    <row r="8" spans="1:12" x14ac:dyDescent="0.25">
      <c r="A8" s="8" t="s">
        <v>9</v>
      </c>
      <c r="B8" s="1"/>
      <c r="C8" s="1"/>
      <c r="D8" s="1"/>
      <c r="E8" s="1"/>
      <c r="F8" s="1"/>
      <c r="G8" s="1"/>
      <c r="H8" s="1"/>
      <c r="I8" s="1"/>
      <c r="J8" s="1"/>
      <c r="K8" s="1"/>
      <c r="L8" s="9"/>
    </row>
    <row r="9" spans="1:12" x14ac:dyDescent="0.25">
      <c r="A9" s="8" t="s">
        <v>10</v>
      </c>
      <c r="B9" s="1"/>
      <c r="C9" s="1"/>
      <c r="D9" s="1"/>
      <c r="E9" s="1"/>
      <c r="F9" s="1"/>
      <c r="G9" s="1"/>
      <c r="H9" s="1"/>
      <c r="I9" s="1"/>
      <c r="J9" s="1"/>
      <c r="K9" s="1"/>
      <c r="L9" s="9"/>
    </row>
    <row r="10" spans="1:12" x14ac:dyDescent="0.25">
      <c r="A10" s="8" t="s">
        <v>11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9"/>
    </row>
    <row r="11" spans="1:12" x14ac:dyDescent="0.25">
      <c r="A11" s="10" t="s">
        <v>12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11"/>
    </row>
    <row r="12" spans="1:12" x14ac:dyDescent="0.25">
      <c r="A12" s="3" t="s">
        <v>1</v>
      </c>
      <c r="B12" s="4">
        <f>SUM($B$2:$B$11)</f>
        <v>805</v>
      </c>
      <c r="C12" s="4">
        <f>IF((C2)&gt;0,B12-(C2),"")</f>
        <v>685</v>
      </c>
      <c r="D12" s="4">
        <f>IF((D3)&gt;0,C12-(D3),"")</f>
        <v>545</v>
      </c>
      <c r="E12" s="4">
        <f>IF((E4)&gt;0,D12-(E4),"")</f>
        <v>413</v>
      </c>
      <c r="F12" s="4">
        <f>IF((F5)&gt;0,E12-(F5),"")</f>
        <v>236</v>
      </c>
      <c r="G12" s="4">
        <f>IF((G6)&gt;0,F12-(G6),"")</f>
        <v>116</v>
      </c>
      <c r="H12" s="4">
        <f>IF((H7)&gt;0,G12-(H7),"")</f>
        <v>30</v>
      </c>
      <c r="I12" s="4" t="str">
        <f>IF((I8)&gt;0,H12-(I8),"")</f>
        <v/>
      </c>
      <c r="J12" s="4" t="str">
        <f>IF((J9)&gt;0,I12-(J9),"")</f>
        <v/>
      </c>
      <c r="K12" s="4" t="str">
        <f>IF((K10)&gt;0,J12-(K10),"")</f>
        <v/>
      </c>
      <c r="L12" s="4" t="str">
        <f>IF((L11)&gt;0,K12-(L11),"")</f>
        <v/>
      </c>
    </row>
    <row r="13" spans="1:12" x14ac:dyDescent="0.25">
      <c r="A13" s="3" t="s">
        <v>2</v>
      </c>
      <c r="B13" s="4">
        <f>SUM($B$2:$B$11)</f>
        <v>805</v>
      </c>
      <c r="C13" s="4">
        <f>B13-($B$13/COUNTA($C$1:$L$1))</f>
        <v>724.5</v>
      </c>
      <c r="D13" s="4">
        <f t="shared" ref="D13:L13" si="0">C13-($B$13/COUNTA($C$1:$L$1))</f>
        <v>644</v>
      </c>
      <c r="E13" s="4">
        <f t="shared" si="0"/>
        <v>563.5</v>
      </c>
      <c r="F13" s="4">
        <f t="shared" si="0"/>
        <v>483</v>
      </c>
      <c r="G13" s="4">
        <f t="shared" si="0"/>
        <v>402.5</v>
      </c>
      <c r="H13" s="4">
        <f t="shared" si="0"/>
        <v>322</v>
      </c>
      <c r="I13" s="4">
        <f t="shared" si="0"/>
        <v>241.5</v>
      </c>
      <c r="J13" s="4">
        <f t="shared" si="0"/>
        <v>161</v>
      </c>
      <c r="K13" s="4">
        <f t="shared" si="0"/>
        <v>80.5</v>
      </c>
      <c r="L13" s="4">
        <f t="shared" si="0"/>
        <v>0</v>
      </c>
    </row>
    <row r="18" spans="8:8" x14ac:dyDescent="0.25">
      <c r="H18" s="1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zoomScale="85" zoomScaleNormal="85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topLeftCell="A13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EDILEYSONSILVA</cp:lastModifiedBy>
  <cp:lastPrinted>2016-06-19T15:56:58Z</cp:lastPrinted>
  <dcterms:created xsi:type="dcterms:W3CDTF">2016-06-19T15:11:06Z</dcterms:created>
  <dcterms:modified xsi:type="dcterms:W3CDTF">2019-11-12T18:51:50Z</dcterms:modified>
</cp:coreProperties>
</file>