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xampp\htdocs\PROJETO ENGENHARIA 02\projetoEngenharia\burndown\"/>
    </mc:Choice>
  </mc:AlternateContent>
  <bookViews>
    <workbookView xWindow="0" yWindow="0" windowWidth="20490" windowHeight="7755"/>
  </bookViews>
  <sheets>
    <sheet name="Atividades" sheetId="1" r:id="rId1"/>
    <sheet name="Burndown impressão color" sheetId="2" r:id="rId2"/>
    <sheet name="Burndown impressão pb" sheetId="3" r:id="rId3"/>
  </sheets>
  <definedNames>
    <definedName name="Restante">OFFSET(Atividades!$B$12,0,0,1,COUNT(Atividades!$B$12:$L$12))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1" l="1"/>
  <c r="C13" i="1" s="1"/>
  <c r="D13" i="1" s="1"/>
  <c r="E13" i="1" s="1"/>
  <c r="F13" i="1" s="1"/>
  <c r="G13" i="1" s="1"/>
  <c r="H13" i="1" s="1"/>
  <c r="I13" i="1" s="1"/>
  <c r="J13" i="1" s="1"/>
  <c r="K13" i="1" s="1"/>
  <c r="L13" i="1" s="1"/>
  <c r="B12" i="1"/>
  <c r="C12" i="1" s="1"/>
  <c r="D12" i="1" s="1"/>
  <c r="E12" i="1" s="1"/>
  <c r="F12" i="1" s="1"/>
  <c r="G12" i="1" s="1"/>
  <c r="H12" i="1" s="1"/>
  <c r="I12" i="1" s="1"/>
  <c r="J12" i="1" s="1"/>
  <c r="K12" i="1" s="1"/>
  <c r="L12" i="1" s="1"/>
</calcChain>
</file>

<file path=xl/sharedStrings.xml><?xml version="1.0" encoding="utf-8"?>
<sst xmlns="http://schemas.openxmlformats.org/spreadsheetml/2006/main" count="23" uniqueCount="23">
  <si>
    <t>Total de horas</t>
  </si>
  <si>
    <t>Restante</t>
  </si>
  <si>
    <t>Estimado</t>
  </si>
  <si>
    <t>Sprint I</t>
  </si>
  <si>
    <t>Sprint II</t>
  </si>
  <si>
    <t>Sprint III</t>
  </si>
  <si>
    <t>Sprint IV</t>
  </si>
  <si>
    <t>Sprint V</t>
  </si>
  <si>
    <t>Sprint VI</t>
  </si>
  <si>
    <t>Sprint VII</t>
  </si>
  <si>
    <t>Sprint VIII</t>
  </si>
  <si>
    <t>Sprint IX</t>
  </si>
  <si>
    <t>Sprint X</t>
  </si>
  <si>
    <t>Semana I</t>
  </si>
  <si>
    <t>Semana II</t>
  </si>
  <si>
    <t>Semana III</t>
  </si>
  <si>
    <t>Semana IV</t>
  </si>
  <si>
    <t>Semana V</t>
  </si>
  <si>
    <t>Semana VI</t>
  </si>
  <si>
    <t>Semana VII</t>
  </si>
  <si>
    <t>Semana VIII</t>
  </si>
  <si>
    <t>Semana IX</t>
  </si>
  <si>
    <t>Semana 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</si>
</sst>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indexed="64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Border="1"/>
    <xf numFmtId="0" fontId="0" fillId="0" borderId="3" xfId="0" applyBorder="1"/>
    <xf numFmtId="0" fontId="1" fillId="0" borderId="2" xfId="0" applyFont="1" applyBorder="1"/>
    <xf numFmtId="0" fontId="0" fillId="0" borderId="2" xfId="0" applyBorder="1"/>
    <xf numFmtId="0" fontId="1" fillId="0" borderId="4" xfId="0" applyFont="1" applyBorder="1"/>
    <xf numFmtId="0" fontId="0" fillId="0" borderId="5" xfId="0" applyBorder="1"/>
    <xf numFmtId="0" fontId="0" fillId="0" borderId="6" xfId="0" applyBorder="1"/>
    <xf numFmtId="0" fontId="1" fillId="0" borderId="7" xfId="0" applyFont="1" applyBorder="1"/>
    <xf numFmtId="0" fontId="0" fillId="0" borderId="8" xfId="0" applyBorder="1"/>
    <xf numFmtId="0" fontId="1" fillId="0" borderId="9" xfId="0" applyFont="1" applyBorder="1"/>
    <xf numFmtId="0" fontId="0" fillId="0" borderId="10" xfId="0" applyBorder="1"/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Gráfico Burndown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Atividades!$B$1:$L$1</c:f>
              <c:strCache>
                <c:ptCount val="11"/>
                <c:pt idx="0">
                  <c:v>Total de horas</c:v>
                </c:pt>
                <c:pt idx="1">
                  <c:v>Semana I</c:v>
                </c:pt>
                <c:pt idx="2">
                  <c:v>Semana II</c:v>
                </c:pt>
                <c:pt idx="3">
                  <c:v>Semana III</c:v>
                </c:pt>
                <c:pt idx="4">
                  <c:v>Semana IV</c:v>
                </c:pt>
                <c:pt idx="5">
                  <c:v>Semana V</c:v>
                </c:pt>
                <c:pt idx="6">
                  <c:v>Semana VI</c:v>
                </c:pt>
                <c:pt idx="7">
                  <c:v>Semana VII</c:v>
                </c:pt>
                <c:pt idx="8">
                  <c:v>Semana VIII</c:v>
                </c:pt>
                <c:pt idx="9">
                  <c:v>Semana IX</c:v>
                </c:pt>
                <c:pt idx="10">
                  <c:v>Semana X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10"/>
                <c:pt idx="0">
                  <c:v>1205</c:v>
                </c:pt>
                <c:pt idx="1">
                  <c:v>1085</c:v>
                </c:pt>
                <c:pt idx="2">
                  <c:v>945</c:v>
                </c:pt>
                <c:pt idx="3">
                  <c:v>813</c:v>
                </c:pt>
                <c:pt idx="4">
                  <c:v>636</c:v>
                </c:pt>
                <c:pt idx="5">
                  <c:v>516</c:v>
                </c:pt>
                <c:pt idx="6">
                  <c:v>430</c:v>
                </c:pt>
                <c:pt idx="7">
                  <c:v>350</c:v>
                </c:pt>
                <c:pt idx="8">
                  <c:v>278</c:v>
                </c:pt>
                <c:pt idx="9">
                  <c:v>208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D14-4F5F-993D-D6112EDA866E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Atividades!$B$1:$L$1</c:f>
              <c:strCache>
                <c:ptCount val="11"/>
                <c:pt idx="0">
                  <c:v>Total de horas</c:v>
                </c:pt>
                <c:pt idx="1">
                  <c:v>Semana I</c:v>
                </c:pt>
                <c:pt idx="2">
                  <c:v>Semana II</c:v>
                </c:pt>
                <c:pt idx="3">
                  <c:v>Semana III</c:v>
                </c:pt>
                <c:pt idx="4">
                  <c:v>Semana IV</c:v>
                </c:pt>
                <c:pt idx="5">
                  <c:v>Semana V</c:v>
                </c:pt>
                <c:pt idx="6">
                  <c:v>Semana VI</c:v>
                </c:pt>
                <c:pt idx="7">
                  <c:v>Semana VII</c:v>
                </c:pt>
                <c:pt idx="8">
                  <c:v>Semana VIII</c:v>
                </c:pt>
                <c:pt idx="9">
                  <c:v>Semana IX</c:v>
                </c:pt>
                <c:pt idx="10">
                  <c:v>Semana X</c:v>
                </c:pt>
              </c:strCache>
            </c:strRef>
          </c:cat>
          <c:val>
            <c:numRef>
              <c:f>Atividades!$B$13:$L$13</c:f>
              <c:numCache>
                <c:formatCode>General</c:formatCode>
                <c:ptCount val="11"/>
                <c:pt idx="0">
                  <c:v>1205</c:v>
                </c:pt>
                <c:pt idx="1">
                  <c:v>1084.5</c:v>
                </c:pt>
                <c:pt idx="2">
                  <c:v>964</c:v>
                </c:pt>
                <c:pt idx="3">
                  <c:v>843.5</c:v>
                </c:pt>
                <c:pt idx="4">
                  <c:v>723</c:v>
                </c:pt>
                <c:pt idx="5">
                  <c:v>602.5</c:v>
                </c:pt>
                <c:pt idx="6">
                  <c:v>482</c:v>
                </c:pt>
                <c:pt idx="7">
                  <c:v>361.5</c:v>
                </c:pt>
                <c:pt idx="8">
                  <c:v>241</c:v>
                </c:pt>
                <c:pt idx="9">
                  <c:v>120.5</c:v>
                </c:pt>
                <c:pt idx="1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D14-4F5F-993D-D6112EDA86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257997736"/>
        <c:axId val="257998520"/>
      </c:lineChart>
      <c:catAx>
        <c:axId val="257997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7998520"/>
        <c:crosses val="autoZero"/>
        <c:auto val="1"/>
        <c:lblAlgn val="ctr"/>
        <c:lblOffset val="100"/>
        <c:noMultiLvlLbl val="0"/>
      </c:catAx>
      <c:valAx>
        <c:axId val="2579985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7997736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11"/>
                <c:pt idx="0">
                  <c:v>Total de horas</c:v>
                </c:pt>
                <c:pt idx="1">
                  <c:v>Semana I</c:v>
                </c:pt>
                <c:pt idx="2">
                  <c:v>Semana II</c:v>
                </c:pt>
                <c:pt idx="3">
                  <c:v>Semana III</c:v>
                </c:pt>
                <c:pt idx="4">
                  <c:v>Semana IV</c:v>
                </c:pt>
                <c:pt idx="5">
                  <c:v>Semana V</c:v>
                </c:pt>
                <c:pt idx="6">
                  <c:v>Semana VI</c:v>
                </c:pt>
                <c:pt idx="7">
                  <c:v>Semana VII</c:v>
                </c:pt>
                <c:pt idx="8">
                  <c:v>Semana VIII</c:v>
                </c:pt>
                <c:pt idx="9">
                  <c:v>Semana IX</c:v>
                </c:pt>
                <c:pt idx="10">
                  <c:v>Semana X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10"/>
                <c:pt idx="0">
                  <c:v>1205</c:v>
                </c:pt>
                <c:pt idx="1">
                  <c:v>1085</c:v>
                </c:pt>
                <c:pt idx="2">
                  <c:v>945</c:v>
                </c:pt>
                <c:pt idx="3">
                  <c:v>813</c:v>
                </c:pt>
                <c:pt idx="4">
                  <c:v>636</c:v>
                </c:pt>
                <c:pt idx="5">
                  <c:v>516</c:v>
                </c:pt>
                <c:pt idx="6">
                  <c:v>430</c:v>
                </c:pt>
                <c:pt idx="7">
                  <c:v>350</c:v>
                </c:pt>
                <c:pt idx="8">
                  <c:v>278</c:v>
                </c:pt>
                <c:pt idx="9">
                  <c:v>208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9F-4CED-9149-26718F70175A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11"/>
                <c:pt idx="0">
                  <c:v>Total de horas</c:v>
                </c:pt>
                <c:pt idx="1">
                  <c:v>Semana I</c:v>
                </c:pt>
                <c:pt idx="2">
                  <c:v>Semana II</c:v>
                </c:pt>
                <c:pt idx="3">
                  <c:v>Semana III</c:v>
                </c:pt>
                <c:pt idx="4">
                  <c:v>Semana IV</c:v>
                </c:pt>
                <c:pt idx="5">
                  <c:v>Semana V</c:v>
                </c:pt>
                <c:pt idx="6">
                  <c:v>Semana VI</c:v>
                </c:pt>
                <c:pt idx="7">
                  <c:v>Semana VII</c:v>
                </c:pt>
                <c:pt idx="8">
                  <c:v>Semana VIII</c:v>
                </c:pt>
                <c:pt idx="9">
                  <c:v>Semana IX</c:v>
                </c:pt>
                <c:pt idx="10">
                  <c:v>Semana X</c:v>
                </c:pt>
              </c:strCache>
            </c:strRef>
          </c:cat>
          <c:val>
            <c:numRef>
              <c:f>Atividades!$B$13:$L$13</c:f>
              <c:numCache>
                <c:formatCode>General</c:formatCode>
                <c:ptCount val="11"/>
                <c:pt idx="0">
                  <c:v>1205</c:v>
                </c:pt>
                <c:pt idx="1">
                  <c:v>1084.5</c:v>
                </c:pt>
                <c:pt idx="2">
                  <c:v>964</c:v>
                </c:pt>
                <c:pt idx="3">
                  <c:v>843.5</c:v>
                </c:pt>
                <c:pt idx="4">
                  <c:v>723</c:v>
                </c:pt>
                <c:pt idx="5">
                  <c:v>602.5</c:v>
                </c:pt>
                <c:pt idx="6">
                  <c:v>482</c:v>
                </c:pt>
                <c:pt idx="7">
                  <c:v>361.5</c:v>
                </c:pt>
                <c:pt idx="8">
                  <c:v>241</c:v>
                </c:pt>
                <c:pt idx="9">
                  <c:v>120.5</c:v>
                </c:pt>
                <c:pt idx="1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29F-4CED-9149-26718F70175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57996560"/>
        <c:axId val="257998128"/>
      </c:lineChart>
      <c:catAx>
        <c:axId val="257996560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7998128"/>
        <c:crosses val="autoZero"/>
        <c:auto val="1"/>
        <c:lblAlgn val="ctr"/>
        <c:lblOffset val="100"/>
        <c:noMultiLvlLbl val="0"/>
      </c:catAx>
      <c:valAx>
        <c:axId val="2579981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7996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11"/>
                <c:pt idx="0">
                  <c:v>Total de horas</c:v>
                </c:pt>
                <c:pt idx="1">
                  <c:v>Semana I</c:v>
                </c:pt>
                <c:pt idx="2">
                  <c:v>Semana II</c:v>
                </c:pt>
                <c:pt idx="3">
                  <c:v>Semana III</c:v>
                </c:pt>
                <c:pt idx="4">
                  <c:v>Semana IV</c:v>
                </c:pt>
                <c:pt idx="5">
                  <c:v>Semana V</c:v>
                </c:pt>
                <c:pt idx="6">
                  <c:v>Semana VI</c:v>
                </c:pt>
                <c:pt idx="7">
                  <c:v>Semana VII</c:v>
                </c:pt>
                <c:pt idx="8">
                  <c:v>Semana VIII</c:v>
                </c:pt>
                <c:pt idx="9">
                  <c:v>Semana IX</c:v>
                </c:pt>
                <c:pt idx="10">
                  <c:v>Semana X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10"/>
                <c:pt idx="0">
                  <c:v>1205</c:v>
                </c:pt>
                <c:pt idx="1">
                  <c:v>1085</c:v>
                </c:pt>
                <c:pt idx="2">
                  <c:v>945</c:v>
                </c:pt>
                <c:pt idx="3">
                  <c:v>813</c:v>
                </c:pt>
                <c:pt idx="4">
                  <c:v>636</c:v>
                </c:pt>
                <c:pt idx="5">
                  <c:v>516</c:v>
                </c:pt>
                <c:pt idx="6">
                  <c:v>430</c:v>
                </c:pt>
                <c:pt idx="7">
                  <c:v>350</c:v>
                </c:pt>
                <c:pt idx="8">
                  <c:v>278</c:v>
                </c:pt>
                <c:pt idx="9">
                  <c:v>208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307-4B53-9839-686C53533DE0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11"/>
                <c:pt idx="0">
                  <c:v>Total de horas</c:v>
                </c:pt>
                <c:pt idx="1">
                  <c:v>Semana I</c:v>
                </c:pt>
                <c:pt idx="2">
                  <c:v>Semana II</c:v>
                </c:pt>
                <c:pt idx="3">
                  <c:v>Semana III</c:v>
                </c:pt>
                <c:pt idx="4">
                  <c:v>Semana IV</c:v>
                </c:pt>
                <c:pt idx="5">
                  <c:v>Semana V</c:v>
                </c:pt>
                <c:pt idx="6">
                  <c:v>Semana VI</c:v>
                </c:pt>
                <c:pt idx="7">
                  <c:v>Semana VII</c:v>
                </c:pt>
                <c:pt idx="8">
                  <c:v>Semana VIII</c:v>
                </c:pt>
                <c:pt idx="9">
                  <c:v>Semana IX</c:v>
                </c:pt>
                <c:pt idx="10">
                  <c:v>Semana X</c:v>
                </c:pt>
              </c:strCache>
            </c:strRef>
          </c:cat>
          <c:val>
            <c:numRef>
              <c:f>Atividades!$B$13:$L$13</c:f>
              <c:numCache>
                <c:formatCode>General</c:formatCode>
                <c:ptCount val="11"/>
                <c:pt idx="0">
                  <c:v>1205</c:v>
                </c:pt>
                <c:pt idx="1">
                  <c:v>1084.5</c:v>
                </c:pt>
                <c:pt idx="2">
                  <c:v>964</c:v>
                </c:pt>
                <c:pt idx="3">
                  <c:v>843.5</c:v>
                </c:pt>
                <c:pt idx="4">
                  <c:v>723</c:v>
                </c:pt>
                <c:pt idx="5">
                  <c:v>602.5</c:v>
                </c:pt>
                <c:pt idx="6">
                  <c:v>482</c:v>
                </c:pt>
                <c:pt idx="7">
                  <c:v>361.5</c:v>
                </c:pt>
                <c:pt idx="8">
                  <c:v>241</c:v>
                </c:pt>
                <c:pt idx="9">
                  <c:v>120.5</c:v>
                </c:pt>
                <c:pt idx="1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307-4B53-9839-686C53533DE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58000088"/>
        <c:axId val="258000480"/>
      </c:lineChart>
      <c:catAx>
        <c:axId val="25800008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8000480"/>
        <c:crosses val="autoZero"/>
        <c:auto val="1"/>
        <c:lblAlgn val="ctr"/>
        <c:lblOffset val="100"/>
        <c:noMultiLvlLbl val="0"/>
      </c:catAx>
      <c:valAx>
        <c:axId val="2580004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8000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14</xdr:row>
      <xdr:rowOff>85725</xdr:rowOff>
    </xdr:from>
    <xdr:to>
      <xdr:col>6</xdr:col>
      <xdr:colOff>219074</xdr:colOff>
      <xdr:row>27</xdr:row>
      <xdr:rowOff>123825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8"/>
  <sheetViews>
    <sheetView showGridLines="0" tabSelected="1" workbookViewId="0">
      <selection activeCell="L11" sqref="L11"/>
    </sheetView>
  </sheetViews>
  <sheetFormatPr defaultRowHeight="15" x14ac:dyDescent="0.25"/>
  <cols>
    <col min="1" max="1" width="9.7109375" bestFit="1" customWidth="1"/>
    <col min="2" max="2" width="13.5703125" bestFit="1" customWidth="1"/>
    <col min="3" max="3" width="9" bestFit="1" customWidth="1"/>
    <col min="4" max="4" width="9.5703125" bestFit="1" customWidth="1"/>
    <col min="5" max="5" width="10.140625" bestFit="1" customWidth="1"/>
    <col min="6" max="6" width="10.28515625" bestFit="1" customWidth="1"/>
    <col min="7" max="7" width="9.7109375" bestFit="1" customWidth="1"/>
    <col min="8" max="8" width="10.28515625" bestFit="1" customWidth="1"/>
    <col min="9" max="9" width="10.85546875" bestFit="1" customWidth="1"/>
    <col min="10" max="10" width="11.42578125" bestFit="1" customWidth="1"/>
    <col min="11" max="11" width="10.140625" bestFit="1" customWidth="1"/>
    <col min="12" max="12" width="12.7109375" bestFit="1" customWidth="1"/>
  </cols>
  <sheetData>
    <row r="1" spans="1:12" x14ac:dyDescent="0.25">
      <c r="B1" s="12" t="s">
        <v>0</v>
      </c>
      <c r="C1" s="13" t="s">
        <v>13</v>
      </c>
      <c r="D1" s="13" t="s">
        <v>14</v>
      </c>
      <c r="E1" s="13" t="s">
        <v>15</v>
      </c>
      <c r="F1" s="13" t="s">
        <v>16</v>
      </c>
      <c r="G1" s="13" t="s">
        <v>17</v>
      </c>
      <c r="H1" s="13" t="s">
        <v>18</v>
      </c>
      <c r="I1" s="13" t="s">
        <v>19</v>
      </c>
      <c r="J1" s="13" t="s">
        <v>20</v>
      </c>
      <c r="K1" s="13" t="s">
        <v>21</v>
      </c>
      <c r="L1" s="14" t="s">
        <v>22</v>
      </c>
    </row>
    <row r="2" spans="1:12" x14ac:dyDescent="0.25">
      <c r="A2" s="5" t="s">
        <v>3</v>
      </c>
      <c r="B2" s="6">
        <v>120</v>
      </c>
      <c r="C2" s="6">
        <v>120</v>
      </c>
      <c r="D2" s="6"/>
      <c r="E2" s="6"/>
      <c r="F2" s="6"/>
      <c r="G2" s="6"/>
      <c r="H2" s="6"/>
      <c r="I2" s="6"/>
      <c r="J2" s="6"/>
      <c r="K2" s="6"/>
      <c r="L2" s="7"/>
    </row>
    <row r="3" spans="1:12" x14ac:dyDescent="0.25">
      <c r="A3" s="8" t="s">
        <v>4</v>
      </c>
      <c r="B3" s="1">
        <v>140</v>
      </c>
      <c r="C3" s="1"/>
      <c r="D3" s="1">
        <v>140</v>
      </c>
      <c r="E3" s="1"/>
      <c r="F3" s="1"/>
      <c r="G3" s="1"/>
      <c r="H3" s="1"/>
      <c r="I3" s="1"/>
      <c r="J3" s="1"/>
      <c r="K3" s="1"/>
      <c r="L3" s="9"/>
    </row>
    <row r="4" spans="1:12" x14ac:dyDescent="0.25">
      <c r="A4" s="8" t="s">
        <v>5</v>
      </c>
      <c r="B4" s="1">
        <v>140</v>
      </c>
      <c r="C4" s="1"/>
      <c r="D4" s="1"/>
      <c r="E4" s="1">
        <v>132</v>
      </c>
      <c r="F4" s="1"/>
      <c r="G4" s="1"/>
      <c r="H4" s="1"/>
      <c r="I4" s="1"/>
      <c r="J4" s="1"/>
      <c r="K4" s="1"/>
      <c r="L4" s="9"/>
    </row>
    <row r="5" spans="1:12" x14ac:dyDescent="0.25">
      <c r="A5" s="8" t="s">
        <v>6</v>
      </c>
      <c r="B5" s="1">
        <v>177</v>
      </c>
      <c r="C5" s="1"/>
      <c r="D5" s="1"/>
      <c r="E5" s="1"/>
      <c r="F5" s="1">
        <v>177</v>
      </c>
      <c r="G5" s="1"/>
      <c r="H5" s="1"/>
      <c r="I5" s="1"/>
      <c r="J5" s="1"/>
      <c r="K5" s="1"/>
      <c r="L5" s="9"/>
    </row>
    <row r="6" spans="1:12" x14ac:dyDescent="0.25">
      <c r="A6" s="8" t="s">
        <v>7</v>
      </c>
      <c r="B6" s="1">
        <v>120</v>
      </c>
      <c r="C6" s="1"/>
      <c r="D6" s="1"/>
      <c r="E6" s="1"/>
      <c r="F6" s="1"/>
      <c r="G6" s="1">
        <v>120</v>
      </c>
      <c r="H6" s="1"/>
      <c r="I6" s="1"/>
      <c r="J6" s="1"/>
      <c r="K6" s="1"/>
      <c r="L6" s="9"/>
    </row>
    <row r="7" spans="1:12" x14ac:dyDescent="0.25">
      <c r="A7" s="8" t="s">
        <v>8</v>
      </c>
      <c r="B7" s="1">
        <v>108</v>
      </c>
      <c r="C7" s="1"/>
      <c r="D7" s="1"/>
      <c r="E7" s="1"/>
      <c r="F7" s="1"/>
      <c r="G7" s="1"/>
      <c r="H7" s="1">
        <v>86</v>
      </c>
      <c r="I7" s="1"/>
      <c r="J7" s="1"/>
      <c r="K7" s="1"/>
      <c r="L7" s="9"/>
    </row>
    <row r="8" spans="1:12" x14ac:dyDescent="0.25">
      <c r="A8" s="8" t="s">
        <v>9</v>
      </c>
      <c r="B8" s="1">
        <v>100</v>
      </c>
      <c r="C8" s="1"/>
      <c r="D8" s="1"/>
      <c r="E8" s="1"/>
      <c r="F8" s="1"/>
      <c r="G8" s="1"/>
      <c r="H8" s="1"/>
      <c r="I8" s="1">
        <v>80</v>
      </c>
      <c r="J8" s="1"/>
      <c r="K8" s="1"/>
      <c r="L8" s="9"/>
    </row>
    <row r="9" spans="1:12" x14ac:dyDescent="0.25">
      <c r="A9" s="8" t="s">
        <v>10</v>
      </c>
      <c r="B9" s="1">
        <v>100</v>
      </c>
      <c r="C9" s="1"/>
      <c r="D9" s="1"/>
      <c r="E9" s="1"/>
      <c r="F9" s="1"/>
      <c r="G9" s="1"/>
      <c r="H9" s="1"/>
      <c r="I9" s="1"/>
      <c r="J9" s="1">
        <v>72</v>
      </c>
      <c r="K9" s="1"/>
      <c r="L9" s="9"/>
    </row>
    <row r="10" spans="1:12" x14ac:dyDescent="0.25">
      <c r="A10" s="8" t="s">
        <v>11</v>
      </c>
      <c r="B10" s="1">
        <v>100</v>
      </c>
      <c r="C10" s="1"/>
      <c r="D10" s="1"/>
      <c r="E10" s="1"/>
      <c r="F10" s="1"/>
      <c r="G10" s="1"/>
      <c r="H10" s="1"/>
      <c r="I10" s="1"/>
      <c r="J10" s="1"/>
      <c r="K10" s="1">
        <v>70</v>
      </c>
      <c r="L10" s="9"/>
    </row>
    <row r="11" spans="1:12" x14ac:dyDescent="0.25">
      <c r="A11" s="10" t="s">
        <v>12</v>
      </c>
      <c r="B11" s="2">
        <v>100</v>
      </c>
      <c r="C11" s="2"/>
      <c r="D11" s="2"/>
      <c r="E11" s="2"/>
      <c r="F11" s="2"/>
      <c r="G11" s="2"/>
      <c r="H11" s="2"/>
      <c r="I11" s="2"/>
      <c r="J11" s="2"/>
      <c r="K11" s="2"/>
      <c r="L11" s="11"/>
    </row>
    <row r="12" spans="1:12" x14ac:dyDescent="0.25">
      <c r="A12" s="3" t="s">
        <v>1</v>
      </c>
      <c r="B12" s="4">
        <f>SUM($B$2:$B$11)</f>
        <v>1205</v>
      </c>
      <c r="C12" s="4">
        <f>IF((C2)&gt;0,B12-(C2),"")</f>
        <v>1085</v>
      </c>
      <c r="D12" s="4">
        <f>IF((D3)&gt;0,C12-(D3),"")</f>
        <v>945</v>
      </c>
      <c r="E12" s="4">
        <f>IF((E4)&gt;0,D12-(E4),"")</f>
        <v>813</v>
      </c>
      <c r="F12" s="4">
        <f>IF((F5)&gt;0,E12-(F5),"")</f>
        <v>636</v>
      </c>
      <c r="G12" s="4">
        <f>IF((G6)&gt;0,F12-(G6),"")</f>
        <v>516</v>
      </c>
      <c r="H12" s="4">
        <f>IF((H7)&gt;0,G12-(H7),"")</f>
        <v>430</v>
      </c>
      <c r="I12" s="4">
        <f>IF((I8)&gt;0,H12-(I8),"")</f>
        <v>350</v>
      </c>
      <c r="J12" s="4">
        <f>IF((J9)&gt;0,I12-(J9),"")</f>
        <v>278</v>
      </c>
      <c r="K12" s="4">
        <f>IF((K10)&gt;0,J12-(K10),"")</f>
        <v>208</v>
      </c>
      <c r="L12" s="4" t="str">
        <f>IF((L11)&gt;0,K12-(L11),"")</f>
        <v/>
      </c>
    </row>
    <row r="13" spans="1:12" x14ac:dyDescent="0.25">
      <c r="A13" s="3" t="s">
        <v>2</v>
      </c>
      <c r="B13" s="4">
        <f>SUM($B$2:$B$11)</f>
        <v>1205</v>
      </c>
      <c r="C13" s="4">
        <f>B13-($B$13/COUNTA($C$1:$L$1))</f>
        <v>1084.5</v>
      </c>
      <c r="D13" s="4">
        <f t="shared" ref="D13:L13" si="0">C13-($B$13/COUNTA($C$1:$L$1))</f>
        <v>964</v>
      </c>
      <c r="E13" s="4">
        <f t="shared" si="0"/>
        <v>843.5</v>
      </c>
      <c r="F13" s="4">
        <f t="shared" si="0"/>
        <v>723</v>
      </c>
      <c r="G13" s="4">
        <f t="shared" si="0"/>
        <v>602.5</v>
      </c>
      <c r="H13" s="4">
        <f t="shared" si="0"/>
        <v>482</v>
      </c>
      <c r="I13" s="4">
        <f t="shared" si="0"/>
        <v>361.5</v>
      </c>
      <c r="J13" s="4">
        <f t="shared" si="0"/>
        <v>241</v>
      </c>
      <c r="K13" s="4">
        <f t="shared" si="0"/>
        <v>120.5</v>
      </c>
      <c r="L13" s="4">
        <f t="shared" si="0"/>
        <v>0</v>
      </c>
    </row>
    <row r="18" spans="8:8" x14ac:dyDescent="0.25">
      <c r="H18" s="15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showRowColHeaders="0" zoomScale="85" zoomScaleNormal="85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showRowColHeaders="0" topLeftCell="A13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Atividades</vt:lpstr>
      <vt:lpstr>Burndown impressão color</vt:lpstr>
      <vt:lpstr>Burndown impressão pb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Rieper</dc:creator>
  <cp:lastModifiedBy>EDILEYSONSILVA</cp:lastModifiedBy>
  <cp:lastPrinted>2016-06-19T15:56:58Z</cp:lastPrinted>
  <dcterms:created xsi:type="dcterms:W3CDTF">2016-06-19T15:11:06Z</dcterms:created>
  <dcterms:modified xsi:type="dcterms:W3CDTF">2019-12-03T21:54:55Z</dcterms:modified>
</cp:coreProperties>
</file>