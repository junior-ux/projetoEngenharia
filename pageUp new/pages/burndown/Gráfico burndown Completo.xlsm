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pageUp new\pages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OFFSET(Atividades!$B$14,0,0,1,COUNT(Atividades!$B$14:$N$14))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C15" i="1" s="1"/>
  <c r="D15" i="1" s="1"/>
  <c r="E15" i="1" s="1"/>
  <c r="F15" i="1" s="1"/>
  <c r="G15" i="1" s="1"/>
  <c r="H15" i="1" s="1"/>
  <c r="I15" i="1" s="1"/>
  <c r="J15" i="1" s="1"/>
  <c r="K15" i="1" s="1"/>
  <c r="L15" i="1" s="1"/>
  <c r="M15" i="1" s="1"/>
  <c r="N15" i="1" s="1"/>
  <c r="B14" i="1"/>
  <c r="C14" i="1" s="1"/>
  <c r="D14" i="1" s="1"/>
  <c r="E14" i="1" s="1"/>
  <c r="F14" i="1" s="1"/>
  <c r="G14" i="1" s="1"/>
  <c r="H14" i="1" s="1"/>
  <c r="I14" i="1" s="1"/>
  <c r="J14" i="1" s="1"/>
  <c r="K14" i="1" s="1"/>
  <c r="L14" i="1" s="1"/>
  <c r="M14" i="1" s="1"/>
  <c r="N14" i="1" s="1"/>
</calcChain>
</file>

<file path=xl/sharedStrings.xml><?xml version="1.0" encoding="utf-8"?>
<sst xmlns="http://schemas.openxmlformats.org/spreadsheetml/2006/main" count="27" uniqueCount="27">
  <si>
    <t>Total de horas</t>
  </si>
  <si>
    <t>Restante</t>
  </si>
  <si>
    <t>Estimado</t>
  </si>
  <si>
    <t>Sprint I</t>
  </si>
  <si>
    <t>Sprint II</t>
  </si>
  <si>
    <t>Sprint III</t>
  </si>
  <si>
    <t>Sprint IV</t>
  </si>
  <si>
    <t>Sprint V</t>
  </si>
  <si>
    <t>Sprint VI</t>
  </si>
  <si>
    <t>Sprint VII</t>
  </si>
  <si>
    <t>Sprint VIII</t>
  </si>
  <si>
    <t>Sprint IX</t>
  </si>
  <si>
    <t>Sprint X</t>
  </si>
  <si>
    <t>Semana I</t>
  </si>
  <si>
    <t>Semana II</t>
  </si>
  <si>
    <t>Semana III</t>
  </si>
  <si>
    <t>Semana IV</t>
  </si>
  <si>
    <t>Semana V</t>
  </si>
  <si>
    <t>Semana VI</t>
  </si>
  <si>
    <t>Semana VII</t>
  </si>
  <si>
    <t>Semana VIII</t>
  </si>
  <si>
    <t>Semana IX</t>
  </si>
  <si>
    <t>Semana X</t>
  </si>
  <si>
    <t>Sprint XI</t>
  </si>
  <si>
    <t>Semana XI</t>
  </si>
  <si>
    <t>Semana XIII</t>
  </si>
  <si>
    <t>Sprint XIII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</si>
</sst>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1661</c:v>
                </c:pt>
                <c:pt idx="1">
                  <c:v>1541</c:v>
                </c:pt>
                <c:pt idx="2">
                  <c:v>1401</c:v>
                </c:pt>
                <c:pt idx="3">
                  <c:v>1269</c:v>
                </c:pt>
                <c:pt idx="4">
                  <c:v>1092</c:v>
                </c:pt>
                <c:pt idx="5">
                  <c:v>972</c:v>
                </c:pt>
                <c:pt idx="6">
                  <c:v>872</c:v>
                </c:pt>
                <c:pt idx="7">
                  <c:v>792</c:v>
                </c:pt>
                <c:pt idx="8">
                  <c:v>692</c:v>
                </c:pt>
                <c:pt idx="9">
                  <c:v>606</c:v>
                </c:pt>
                <c:pt idx="10">
                  <c:v>456</c:v>
                </c:pt>
                <c:pt idx="11">
                  <c:v>299</c:v>
                </c:pt>
                <c:pt idx="12">
                  <c:v>139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1661</c:v>
                </c:pt>
                <c:pt idx="1">
                  <c:v>1522.5833333333333</c:v>
                </c:pt>
                <c:pt idx="2">
                  <c:v>1384.1666666666665</c:v>
                </c:pt>
                <c:pt idx="3">
                  <c:v>1245.7499999999998</c:v>
                </c:pt>
                <c:pt idx="4">
                  <c:v>1107.333333333333</c:v>
                </c:pt>
                <c:pt idx="5">
                  <c:v>968.9166666666664</c:v>
                </c:pt>
                <c:pt idx="6">
                  <c:v>830.49999999999977</c:v>
                </c:pt>
                <c:pt idx="7">
                  <c:v>692.08333333333314</c:v>
                </c:pt>
                <c:pt idx="8">
                  <c:v>553.66666666666652</c:v>
                </c:pt>
                <c:pt idx="9">
                  <c:v>415.24999999999989</c:v>
                </c:pt>
                <c:pt idx="10">
                  <c:v>276.83333333333326</c:v>
                </c:pt>
                <c:pt idx="11">
                  <c:v>138.4166666666666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21215128"/>
        <c:axId val="521211992"/>
      </c:lineChart>
      <c:catAx>
        <c:axId val="52121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211992"/>
        <c:crosses val="autoZero"/>
        <c:auto val="1"/>
        <c:lblAlgn val="ctr"/>
        <c:lblOffset val="100"/>
        <c:noMultiLvlLbl val="0"/>
      </c:catAx>
      <c:valAx>
        <c:axId val="521211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21512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1661</c:v>
                </c:pt>
                <c:pt idx="1">
                  <c:v>1541</c:v>
                </c:pt>
                <c:pt idx="2">
                  <c:v>1401</c:v>
                </c:pt>
                <c:pt idx="3">
                  <c:v>1269</c:v>
                </c:pt>
                <c:pt idx="4">
                  <c:v>1092</c:v>
                </c:pt>
                <c:pt idx="5">
                  <c:v>972</c:v>
                </c:pt>
                <c:pt idx="6">
                  <c:v>872</c:v>
                </c:pt>
                <c:pt idx="7">
                  <c:v>792</c:v>
                </c:pt>
                <c:pt idx="8">
                  <c:v>692</c:v>
                </c:pt>
                <c:pt idx="9">
                  <c:v>606</c:v>
                </c:pt>
                <c:pt idx="10">
                  <c:v>456</c:v>
                </c:pt>
                <c:pt idx="11">
                  <c:v>299</c:v>
                </c:pt>
                <c:pt idx="12">
                  <c:v>139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1661</c:v>
                </c:pt>
                <c:pt idx="1">
                  <c:v>1522.5833333333333</c:v>
                </c:pt>
                <c:pt idx="2">
                  <c:v>1384.1666666666665</c:v>
                </c:pt>
                <c:pt idx="3">
                  <c:v>1245.7499999999998</c:v>
                </c:pt>
                <c:pt idx="4">
                  <c:v>1107.333333333333</c:v>
                </c:pt>
                <c:pt idx="5">
                  <c:v>968.9166666666664</c:v>
                </c:pt>
                <c:pt idx="6">
                  <c:v>830.49999999999977</c:v>
                </c:pt>
                <c:pt idx="7">
                  <c:v>692.08333333333314</c:v>
                </c:pt>
                <c:pt idx="8">
                  <c:v>553.66666666666652</c:v>
                </c:pt>
                <c:pt idx="9">
                  <c:v>415.24999999999989</c:v>
                </c:pt>
                <c:pt idx="10">
                  <c:v>276.83333333333326</c:v>
                </c:pt>
                <c:pt idx="11">
                  <c:v>138.4166666666666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1209248"/>
        <c:axId val="521216696"/>
      </c:lineChart>
      <c:catAx>
        <c:axId val="52120924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216696"/>
        <c:crosses val="autoZero"/>
        <c:auto val="1"/>
        <c:lblAlgn val="ctr"/>
        <c:lblOffset val="100"/>
        <c:noMultiLvlLbl val="0"/>
      </c:catAx>
      <c:valAx>
        <c:axId val="5212166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20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1661</c:v>
                </c:pt>
                <c:pt idx="1">
                  <c:v>1541</c:v>
                </c:pt>
                <c:pt idx="2">
                  <c:v>1401</c:v>
                </c:pt>
                <c:pt idx="3">
                  <c:v>1269</c:v>
                </c:pt>
                <c:pt idx="4">
                  <c:v>1092</c:v>
                </c:pt>
                <c:pt idx="5">
                  <c:v>972</c:v>
                </c:pt>
                <c:pt idx="6">
                  <c:v>872</c:v>
                </c:pt>
                <c:pt idx="7">
                  <c:v>792</c:v>
                </c:pt>
                <c:pt idx="8">
                  <c:v>692</c:v>
                </c:pt>
                <c:pt idx="9">
                  <c:v>606</c:v>
                </c:pt>
                <c:pt idx="10">
                  <c:v>456</c:v>
                </c:pt>
                <c:pt idx="11">
                  <c:v>299</c:v>
                </c:pt>
                <c:pt idx="12">
                  <c:v>139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1661</c:v>
                </c:pt>
                <c:pt idx="1">
                  <c:v>1522.5833333333333</c:v>
                </c:pt>
                <c:pt idx="2">
                  <c:v>1384.1666666666665</c:v>
                </c:pt>
                <c:pt idx="3">
                  <c:v>1245.7499999999998</c:v>
                </c:pt>
                <c:pt idx="4">
                  <c:v>1107.333333333333</c:v>
                </c:pt>
                <c:pt idx="5">
                  <c:v>968.9166666666664</c:v>
                </c:pt>
                <c:pt idx="6">
                  <c:v>830.49999999999977</c:v>
                </c:pt>
                <c:pt idx="7">
                  <c:v>692.08333333333314</c:v>
                </c:pt>
                <c:pt idx="8">
                  <c:v>553.66666666666652</c:v>
                </c:pt>
                <c:pt idx="9">
                  <c:v>415.24999999999989</c:v>
                </c:pt>
                <c:pt idx="10">
                  <c:v>276.83333333333326</c:v>
                </c:pt>
                <c:pt idx="11">
                  <c:v>138.4166666666666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1213952"/>
        <c:axId val="521214736"/>
      </c:lineChart>
      <c:catAx>
        <c:axId val="521213952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214736"/>
        <c:crosses val="autoZero"/>
        <c:auto val="1"/>
        <c:lblAlgn val="ctr"/>
        <c:lblOffset val="100"/>
        <c:noMultiLvlLbl val="0"/>
      </c:catAx>
      <c:valAx>
        <c:axId val="521214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2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23</xdr:row>
      <xdr:rowOff>142875</xdr:rowOff>
    </xdr:from>
    <xdr:to>
      <xdr:col>6</xdr:col>
      <xdr:colOff>314324</xdr:colOff>
      <xdr:row>36</xdr:row>
      <xdr:rowOff>180975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"/>
  <sheetViews>
    <sheetView showGridLines="0" tabSelected="1" zoomScale="80" zoomScaleNormal="80" workbookViewId="0">
      <selection activeCell="K10" sqref="K10"/>
    </sheetView>
  </sheetViews>
  <sheetFormatPr defaultRowHeight="15" x14ac:dyDescent="0.25"/>
  <cols>
    <col min="1" max="1" width="9.7109375" bestFit="1" customWidth="1"/>
    <col min="2" max="2" width="13.5703125" bestFit="1" customWidth="1"/>
    <col min="3" max="3" width="9" bestFit="1" customWidth="1"/>
    <col min="4" max="4" width="9.5703125" bestFit="1" customWidth="1"/>
    <col min="5" max="5" width="10.140625" bestFit="1" customWidth="1"/>
    <col min="6" max="6" width="10.28515625" bestFit="1" customWidth="1"/>
    <col min="7" max="7" width="9.7109375" bestFit="1" customWidth="1"/>
    <col min="8" max="8" width="10.28515625" bestFit="1" customWidth="1"/>
    <col min="9" max="9" width="10.85546875" bestFit="1" customWidth="1"/>
    <col min="10" max="10" width="11.42578125" bestFit="1" customWidth="1"/>
    <col min="11" max="11" width="10.7109375" bestFit="1" customWidth="1"/>
    <col min="12" max="12" width="11.42578125" customWidth="1"/>
    <col min="13" max="13" width="13" bestFit="1" customWidth="1"/>
    <col min="14" max="14" width="12.7109375" bestFit="1" customWidth="1"/>
  </cols>
  <sheetData>
    <row r="1" spans="1:14" x14ac:dyDescent="0.25">
      <c r="B1" s="9" t="s">
        <v>0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20</v>
      </c>
      <c r="K1" s="10" t="s">
        <v>21</v>
      </c>
      <c r="L1" s="10" t="s">
        <v>22</v>
      </c>
      <c r="M1" s="10" t="s">
        <v>24</v>
      </c>
      <c r="N1" s="11" t="s">
        <v>25</v>
      </c>
    </row>
    <row r="2" spans="1:14" x14ac:dyDescent="0.25">
      <c r="A2" s="4" t="s">
        <v>3</v>
      </c>
      <c r="B2" s="5">
        <v>120</v>
      </c>
      <c r="C2" s="5">
        <v>120</v>
      </c>
      <c r="D2" s="5"/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x14ac:dyDescent="0.25">
      <c r="A3" s="7" t="s">
        <v>4</v>
      </c>
      <c r="B3" s="1">
        <v>140</v>
      </c>
      <c r="C3" s="1"/>
      <c r="D3" s="1">
        <v>140</v>
      </c>
      <c r="E3" s="1"/>
      <c r="F3" s="1"/>
      <c r="G3" s="1"/>
      <c r="H3" s="1"/>
      <c r="I3" s="1"/>
      <c r="J3" s="1"/>
      <c r="K3" s="1"/>
      <c r="L3" s="1"/>
      <c r="M3" s="1"/>
      <c r="N3" s="8"/>
    </row>
    <row r="4" spans="1:14" x14ac:dyDescent="0.25">
      <c r="A4" s="7" t="s">
        <v>5</v>
      </c>
      <c r="B4" s="1">
        <v>140</v>
      </c>
      <c r="C4" s="1"/>
      <c r="D4" s="1"/>
      <c r="E4" s="1">
        <v>132</v>
      </c>
      <c r="F4" s="1"/>
      <c r="G4" s="1"/>
      <c r="H4" s="1"/>
      <c r="I4" s="1"/>
      <c r="J4" s="1"/>
      <c r="K4" s="1"/>
      <c r="L4" s="1"/>
      <c r="M4" s="1"/>
      <c r="N4" s="8"/>
    </row>
    <row r="5" spans="1:14" x14ac:dyDescent="0.25">
      <c r="A5" s="7" t="s">
        <v>6</v>
      </c>
      <c r="B5" s="1">
        <v>177</v>
      </c>
      <c r="C5" s="1"/>
      <c r="D5" s="1"/>
      <c r="E5" s="1"/>
      <c r="F5" s="1">
        <v>177</v>
      </c>
      <c r="G5" s="1"/>
      <c r="H5" s="1"/>
      <c r="I5" s="1"/>
      <c r="J5" s="1"/>
      <c r="K5" s="1"/>
      <c r="L5" s="1"/>
      <c r="M5" s="1"/>
      <c r="N5" s="8"/>
    </row>
    <row r="6" spans="1:14" x14ac:dyDescent="0.25">
      <c r="A6" s="7" t="s">
        <v>7</v>
      </c>
      <c r="B6" s="1">
        <v>120</v>
      </c>
      <c r="C6" s="1"/>
      <c r="D6" s="1"/>
      <c r="E6" s="1"/>
      <c r="F6" s="1"/>
      <c r="G6" s="1">
        <v>120</v>
      </c>
      <c r="H6" s="1"/>
      <c r="I6" s="1"/>
      <c r="J6" s="1"/>
      <c r="K6" s="1"/>
      <c r="L6" s="1"/>
      <c r="M6" s="1"/>
      <c r="N6" s="8"/>
    </row>
    <row r="7" spans="1:14" x14ac:dyDescent="0.25">
      <c r="A7" s="7" t="s">
        <v>8</v>
      </c>
      <c r="B7" s="1">
        <v>108</v>
      </c>
      <c r="C7" s="1"/>
      <c r="D7" s="1"/>
      <c r="E7" s="1"/>
      <c r="F7" s="1"/>
      <c r="G7" s="1"/>
      <c r="H7" s="1">
        <v>100</v>
      </c>
      <c r="I7" s="1"/>
      <c r="J7" s="1"/>
      <c r="K7" s="1"/>
      <c r="L7" s="1"/>
      <c r="M7" s="1"/>
      <c r="N7" s="8"/>
    </row>
    <row r="8" spans="1:14" x14ac:dyDescent="0.25">
      <c r="A8" s="7" t="s">
        <v>9</v>
      </c>
      <c r="B8" s="1">
        <v>100</v>
      </c>
      <c r="C8" s="1"/>
      <c r="D8" s="1"/>
      <c r="E8" s="1"/>
      <c r="F8" s="1"/>
      <c r="G8" s="1"/>
      <c r="H8" s="1"/>
      <c r="I8" s="1">
        <v>80</v>
      </c>
      <c r="J8" s="1"/>
      <c r="K8" s="1"/>
      <c r="L8" s="1"/>
      <c r="M8" s="1"/>
      <c r="N8" s="8"/>
    </row>
    <row r="9" spans="1:14" x14ac:dyDescent="0.25">
      <c r="A9" s="7" t="s">
        <v>10</v>
      </c>
      <c r="B9" s="1">
        <v>100</v>
      </c>
      <c r="C9" s="1"/>
      <c r="D9" s="1"/>
      <c r="E9" s="1"/>
      <c r="F9" s="1"/>
      <c r="G9" s="1"/>
      <c r="H9" s="1"/>
      <c r="I9" s="1"/>
      <c r="J9" s="1">
        <v>100</v>
      </c>
      <c r="K9" s="1"/>
      <c r="L9" s="1"/>
      <c r="M9" s="1"/>
      <c r="N9" s="8"/>
    </row>
    <row r="10" spans="1:14" x14ac:dyDescent="0.25">
      <c r="A10" s="7" t="s">
        <v>11</v>
      </c>
      <c r="B10" s="1">
        <v>100</v>
      </c>
      <c r="C10" s="1"/>
      <c r="D10" s="1"/>
      <c r="E10" s="1"/>
      <c r="F10" s="1"/>
      <c r="G10" s="1"/>
      <c r="H10" s="1"/>
      <c r="I10" s="1"/>
      <c r="J10" s="1"/>
      <c r="K10" s="1">
        <v>86</v>
      </c>
      <c r="L10" s="1"/>
      <c r="M10" s="1"/>
      <c r="N10" s="8"/>
    </row>
    <row r="11" spans="1:14" x14ac:dyDescent="0.25">
      <c r="A11" s="7" t="s">
        <v>12</v>
      </c>
      <c r="B11" s="1">
        <v>168</v>
      </c>
      <c r="C11" s="1"/>
      <c r="D11" s="1"/>
      <c r="E11" s="1"/>
      <c r="F11" s="1"/>
      <c r="G11" s="1"/>
      <c r="H11" s="1"/>
      <c r="I11" s="1"/>
      <c r="J11" s="1"/>
      <c r="K11" s="1"/>
      <c r="L11" s="1">
        <v>150</v>
      </c>
      <c r="M11" s="1"/>
      <c r="N11" s="8"/>
    </row>
    <row r="12" spans="1:14" x14ac:dyDescent="0.25">
      <c r="A12" s="7" t="s">
        <v>23</v>
      </c>
      <c r="B12" s="1">
        <v>200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>
        <v>157</v>
      </c>
      <c r="N12" s="8"/>
    </row>
    <row r="13" spans="1:14" x14ac:dyDescent="0.25">
      <c r="A13" s="7" t="s">
        <v>26</v>
      </c>
      <c r="B13" s="1">
        <v>188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8">
        <v>160</v>
      </c>
    </row>
    <row r="14" spans="1:14" x14ac:dyDescent="0.25">
      <c r="A14" s="2" t="s">
        <v>1</v>
      </c>
      <c r="B14" s="3">
        <f>SUM($B$2:$B$13)</f>
        <v>1661</v>
      </c>
      <c r="C14" s="3">
        <f>IF(SUM(C2:C13)&gt;0,B14-SUM(C2:C13),"")</f>
        <v>1541</v>
      </c>
      <c r="D14" s="3">
        <f t="shared" ref="D14:N14" si="0">IF(SUM(D2:D13)&gt;0,C14-SUM(D2:D13),"")</f>
        <v>1401</v>
      </c>
      <c r="E14" s="3">
        <f t="shared" si="0"/>
        <v>1269</v>
      </c>
      <c r="F14" s="3">
        <f t="shared" si="0"/>
        <v>1092</v>
      </c>
      <c r="G14" s="3">
        <f t="shared" si="0"/>
        <v>972</v>
      </c>
      <c r="H14" s="3">
        <f t="shared" si="0"/>
        <v>872</v>
      </c>
      <c r="I14" s="3">
        <f t="shared" si="0"/>
        <v>792</v>
      </c>
      <c r="J14" s="3">
        <f t="shared" si="0"/>
        <v>692</v>
      </c>
      <c r="K14" s="3">
        <f t="shared" si="0"/>
        <v>606</v>
      </c>
      <c r="L14" s="3">
        <f t="shared" si="0"/>
        <v>456</v>
      </c>
      <c r="M14" s="3">
        <f t="shared" si="0"/>
        <v>299</v>
      </c>
      <c r="N14" s="3">
        <f t="shared" si="0"/>
        <v>139</v>
      </c>
    </row>
    <row r="15" spans="1:14" x14ac:dyDescent="0.25">
      <c r="A15" s="2" t="s">
        <v>2</v>
      </c>
      <c r="B15" s="3">
        <f>SUM($B$2:$B$13)</f>
        <v>1661</v>
      </c>
      <c r="C15" s="3">
        <f>B15-($B$15/COUNTA($C$1:$N$1))</f>
        <v>1522.5833333333333</v>
      </c>
      <c r="D15" s="3">
        <f t="shared" ref="D15:N15" si="1">C15-($B$15/COUNTA($C$1:$N$1))</f>
        <v>1384.1666666666665</v>
      </c>
      <c r="E15" s="3">
        <f t="shared" si="1"/>
        <v>1245.7499999999998</v>
      </c>
      <c r="F15" s="3">
        <f t="shared" si="1"/>
        <v>1107.333333333333</v>
      </c>
      <c r="G15" s="3">
        <f t="shared" si="1"/>
        <v>968.9166666666664</v>
      </c>
      <c r="H15" s="3">
        <f t="shared" si="1"/>
        <v>830.49999999999977</v>
      </c>
      <c r="I15" s="3">
        <f t="shared" si="1"/>
        <v>692.08333333333314</v>
      </c>
      <c r="J15" s="3">
        <f t="shared" si="1"/>
        <v>553.66666666666652</v>
      </c>
      <c r="K15" s="3">
        <f t="shared" si="1"/>
        <v>415.24999999999989</v>
      </c>
      <c r="L15" s="3">
        <f t="shared" si="1"/>
        <v>276.83333333333326</v>
      </c>
      <c r="M15" s="3">
        <f t="shared" si="1"/>
        <v>138.4166666666666</v>
      </c>
      <c r="N15" s="3">
        <f t="shared" si="1"/>
        <v>0</v>
      </c>
    </row>
    <row r="20" spans="8:12" x14ac:dyDescent="0.25">
      <c r="H20" s="12"/>
    </row>
    <row r="29" spans="8:12" x14ac:dyDescent="0.25">
      <c r="L29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2020-01-21T15:18:31Z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f23d08fe-d8e7-452a-9b06-fbdd4674104d</vt:lpwstr>
  </property>
</Properties>
</file>