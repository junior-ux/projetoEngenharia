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 firstSheet="5" activeTab="9"/>
  </bookViews>
  <sheets>
    <sheet name="Burndown Completo" sheetId="1" r:id="rId1"/>
    <sheet name="Sprint V" sheetId="4" r:id="rId2"/>
    <sheet name="Sprint VI" sheetId="5" r:id="rId3"/>
    <sheet name="Sprint VII" sheetId="6" r:id="rId4"/>
    <sheet name="Sprint X" sheetId="7" r:id="rId5"/>
    <sheet name="Sprint XI" sheetId="8" r:id="rId6"/>
    <sheet name="Sprint XII" sheetId="9" r:id="rId7"/>
    <sheet name="Sprint XIII" sheetId="10" r:id="rId8"/>
    <sheet name="Burndown impressão color" sheetId="2" r:id="rId9"/>
    <sheet name="Burndown impressão pb" sheetId="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Restante">OFFSET('Burndown Completo'!$B$14,0,0,1,COUNT('Burndown Completo'!$B$14:$N$14))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0" l="1"/>
  <c r="C13" i="10" s="1"/>
  <c r="D13" i="10" s="1"/>
  <c r="E13" i="10" s="1"/>
  <c r="F13" i="10" s="1"/>
  <c r="G13" i="10" s="1"/>
  <c r="H13" i="10" s="1"/>
  <c r="I13" i="10" s="1"/>
  <c r="B12" i="10"/>
  <c r="C12" i="10" s="1"/>
  <c r="D12" i="10" s="1"/>
  <c r="E12" i="10" s="1"/>
  <c r="F12" i="10" s="1"/>
  <c r="G12" i="10" s="1"/>
  <c r="H12" i="10" s="1"/>
  <c r="I12" i="10" s="1"/>
  <c r="B13" i="9" l="1"/>
  <c r="C13" i="9" s="1"/>
  <c r="D13" i="9" s="1"/>
  <c r="E13" i="9" s="1"/>
  <c r="F13" i="9" s="1"/>
  <c r="G13" i="9" s="1"/>
  <c r="H13" i="9" s="1"/>
  <c r="I13" i="9" s="1"/>
  <c r="B12" i="9"/>
  <c r="C12" i="9" s="1"/>
  <c r="D12" i="9" s="1"/>
  <c r="E12" i="9" s="1"/>
  <c r="F12" i="9" s="1"/>
  <c r="G12" i="9" s="1"/>
  <c r="H12" i="9" s="1"/>
  <c r="I12" i="9" s="1"/>
  <c r="B13" i="8" l="1"/>
  <c r="C13" i="8" s="1"/>
  <c r="D13" i="8" s="1"/>
  <c r="E13" i="8" s="1"/>
  <c r="F13" i="8" s="1"/>
  <c r="G13" i="8" s="1"/>
  <c r="H13" i="8" s="1"/>
  <c r="I13" i="8" s="1"/>
  <c r="B12" i="8"/>
  <c r="C12" i="8" s="1"/>
  <c r="D12" i="8" s="1"/>
  <c r="E12" i="8" s="1"/>
  <c r="F12" i="8" s="1"/>
  <c r="G12" i="8" s="1"/>
  <c r="H12" i="8" s="1"/>
  <c r="I12" i="8" s="1"/>
  <c r="B13" i="7" l="1"/>
  <c r="C13" i="7" s="1"/>
  <c r="D13" i="7" s="1"/>
  <c r="E13" i="7" s="1"/>
  <c r="F13" i="7" s="1"/>
  <c r="G13" i="7" s="1"/>
  <c r="H13" i="7" s="1"/>
  <c r="I13" i="7" s="1"/>
  <c r="B12" i="7"/>
  <c r="C12" i="7" s="1"/>
  <c r="D12" i="7" s="1"/>
  <c r="E12" i="7" s="1"/>
  <c r="F12" i="7" s="1"/>
  <c r="G12" i="7" s="1"/>
  <c r="H12" i="7" s="1"/>
  <c r="I12" i="7" s="1"/>
  <c r="B13" i="6" l="1"/>
  <c r="C13" i="6" s="1"/>
  <c r="D13" i="6" s="1"/>
  <c r="E13" i="6" s="1"/>
  <c r="F13" i="6" s="1"/>
  <c r="G13" i="6" s="1"/>
  <c r="H13" i="6" s="1"/>
  <c r="I13" i="6" s="1"/>
  <c r="B12" i="6"/>
  <c r="C12" i="6" s="1"/>
  <c r="D12" i="6" s="1"/>
  <c r="E12" i="6" s="1"/>
  <c r="F12" i="6" s="1"/>
  <c r="G12" i="6" s="1"/>
  <c r="H12" i="6" s="1"/>
  <c r="I12" i="6" s="1"/>
  <c r="B13" i="5" l="1"/>
  <c r="C13" i="5" s="1"/>
  <c r="D13" i="5" s="1"/>
  <c r="E13" i="5" s="1"/>
  <c r="F13" i="5" s="1"/>
  <c r="G13" i="5" s="1"/>
  <c r="H13" i="5" s="1"/>
  <c r="I13" i="5" s="1"/>
  <c r="B12" i="5"/>
  <c r="C12" i="5" s="1"/>
  <c r="D12" i="5" s="1"/>
  <c r="E12" i="5" s="1"/>
  <c r="F12" i="5" s="1"/>
  <c r="G12" i="5" s="1"/>
  <c r="H12" i="5" s="1"/>
  <c r="I12" i="5" s="1"/>
  <c r="B13" i="4" l="1"/>
  <c r="C13" i="4" s="1"/>
  <c r="D13" i="4" s="1"/>
  <c r="E13" i="4" s="1"/>
  <c r="F13" i="4" s="1"/>
  <c r="G13" i="4" s="1"/>
  <c r="H13" i="4" s="1"/>
  <c r="I13" i="4" s="1"/>
  <c r="B12" i="4"/>
  <c r="C12" i="4" s="1"/>
  <c r="D12" i="4" s="1"/>
  <c r="E12" i="4" s="1"/>
  <c r="F12" i="4" s="1"/>
  <c r="G12" i="4" s="1"/>
  <c r="H12" i="4" s="1"/>
  <c r="I12" i="4" s="1"/>
  <c r="B15" i="1" l="1"/>
  <c r="C15" i="1" s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B14" i="1"/>
  <c r="C14" i="1" s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</calcChain>
</file>

<file path=xl/sharedStrings.xml><?xml version="1.0" encoding="utf-8"?>
<sst xmlns="http://schemas.openxmlformats.org/spreadsheetml/2006/main" count="175" uniqueCount="103">
  <si>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</si>
  <si>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</si>
  <si>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</si>
  <si>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</si>
  <si>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</si>
  <si>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</si>
  <si>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</si>
  <si>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</si>
  <si>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</si>
  <si>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</si>
  <si>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</si>
  <si>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</si>
  <si>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</si>
  <si>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</si>
  <si>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</si>
  <si>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</si>
  <si>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</si>
  <si>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</si>
  <si>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</si>
  <si>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</si>
  <si>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</si>
  <si>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</si>
  <si>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</si>
  <si>
    <t>Sprint XI</t>
  </si>
  <si>
    <t>Semana XI</t>
  </si>
  <si>
    <t>Semana XIII</t>
  </si>
  <si>
    <t>Sprint XIII</t>
  </si>
  <si>
    <t>INTEGRANTES DO PROJETO PAGEUP</t>
  </si>
  <si>
    <t>IGOR AMORIN</t>
  </si>
  <si>
    <t>MARCELO BARROS</t>
  </si>
  <si>
    <t>JUNIOR NARCISIO</t>
  </si>
  <si>
    <t>ANDRE LUIZ</t>
  </si>
  <si>
    <t>EDILEUSON SILVA</t>
  </si>
  <si>
    <t>TRABALHO DE CONCLUSAO DA DISCIPLINA ENGENHARIA DE SOFTWARE</t>
  </si>
  <si>
    <t>PROFESSOR: ALCEMIR RODRIGUES SANTOS</t>
  </si>
  <si>
    <t>Dia 1</t>
  </si>
  <si>
    <t>Dia 2</t>
  </si>
  <si>
    <t>Dia 3</t>
  </si>
  <si>
    <t>Dia 4</t>
  </si>
  <si>
    <t>Dia 5</t>
  </si>
  <si>
    <t>Dia 6</t>
  </si>
  <si>
    <t>Dia 7</t>
  </si>
  <si>
    <t>Pagina Inicio ADM</t>
  </si>
  <si>
    <t>Burndown completo</t>
  </si>
  <si>
    <t>Juntar CSS e HTML</t>
  </si>
  <si>
    <t>Linkar paginas na barra</t>
  </si>
  <si>
    <t>Pagina "Informações e duvidas"</t>
  </si>
  <si>
    <t>Pagina "sobre nois"</t>
  </si>
  <si>
    <t>Pagina Inicial da Plataforma com os botoes "Criar evento e "login"</t>
  </si>
  <si>
    <t>Alteração do templete</t>
  </si>
  <si>
    <t>Pagina de login</t>
  </si>
  <si>
    <t>Pagina de cadastro</t>
  </si>
  <si>
    <t>Definir Limites nas atividade</t>
  </si>
  <si>
    <t>Funções da Página do evento(configuração)</t>
  </si>
  <si>
    <t>Emitir certificado em pdf, enviar por email, imprimir</t>
  </si>
  <si>
    <t>Permitir condições na inscrição nos evento</t>
  </si>
  <si>
    <t>Gerar certificados</t>
  </si>
  <si>
    <t>Gerar Cupons</t>
  </si>
  <si>
    <t>Criar templetes para certificados</t>
  </si>
  <si>
    <t>Pagina criação de cupons</t>
  </si>
  <si>
    <t>Pagina para adicionar atividades</t>
  </si>
  <si>
    <t>Pesquisar e estudo para back-and</t>
  </si>
  <si>
    <t>Instancia do servidor Apache2</t>
  </si>
  <si>
    <t>Instalação do LAMP XAMP</t>
  </si>
  <si>
    <t>Configuração do banco de dados</t>
  </si>
  <si>
    <t>Pagina de cupons (Back-and)</t>
  </si>
  <si>
    <t>Pagina de LoginAdm e CadastroAdm</t>
  </si>
  <si>
    <t>Integração das paginas</t>
  </si>
  <si>
    <t>Modelagem banco de dados</t>
  </si>
  <si>
    <t>Criação da Classe de conexao com banco de dados</t>
  </si>
  <si>
    <t>Pesquisas PHP APACHE MysqlAdm</t>
  </si>
  <si>
    <t>Emitir certificado em pdf, enviar por email, opção imprimir</t>
  </si>
  <si>
    <t>Permitir condições de inscrição nas atividades</t>
  </si>
  <si>
    <t>Controle atividades por data, hora e sala</t>
  </si>
  <si>
    <t>{Backend} página inscrição do evento</t>
  </si>
  <si>
    <t>Backend página cupom</t>
  </si>
  <si>
    <t>Definir carga horária para cada atividade</t>
  </si>
  <si>
    <t>Página de gerenciar programação com suas funcionabilidades</t>
  </si>
  <si>
    <t>Gerencie choque de horário dos participante</t>
  </si>
  <si>
    <t>Gerar pdf das atividades do evento</t>
  </si>
  <si>
    <t>Remodelagem do templete</t>
  </si>
  <si>
    <t>Vizualizar pagamento</t>
  </si>
  <si>
    <t>Controle de vagas por tipos de inscrições</t>
  </si>
  <si>
    <t>Adicionar trabalho no heroku</t>
  </si>
  <si>
    <t>Gerenciar banco de dados no heroku (Postgress)</t>
  </si>
  <si>
    <t>Notificar participantes por email</t>
  </si>
  <si>
    <t> implementar o backend e o frontend da página de pagamentos</t>
  </si>
  <si>
    <t xml:space="preserve"> Permitir inscrição de usuários em atividades pagas ao realizar o pagamento </t>
  </si>
  <si>
    <t> Deixar a aplicação de cupons funcional</t>
  </si>
  <si>
    <t xml:space="preserve"> Realizar testes na aplicação </t>
  </si>
  <si>
    <t xml:space="preserve"> Criar certificados para as atividades </t>
  </si>
  <si>
    <t xml:space="preserve"> Fazer a documetação do sistema </t>
  </si>
  <si>
    <t>Organizar entrega final do trabalho</t>
  </si>
  <si>
    <t>Fechar burndown</t>
  </si>
  <si>
    <t>Gerenciar certificado do participante(Se compareceu ou não ao evento)</t>
  </si>
  <si>
    <t>Diferencie os valores por categoria</t>
  </si>
  <si>
    <t>Determine valores de acordo com a data</t>
  </si>
  <si>
    <t xml:space="preserve">Notifique os participantes por e-mail </t>
  </si>
  <si>
    <t>Faça controle de vagas por tipo de inscrição</t>
  </si>
  <si>
    <t>Crie cupons de desconto</t>
  </si>
  <si>
    <t xml:space="preserve">Limite os cupons por data e quantidade </t>
  </si>
  <si>
    <t xml:space="preserve">Defina termos e condições de inscrição </t>
  </si>
  <si>
    <t>Visualize os pagamentos em tempo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</si>
</sst>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24292E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0" xfId="0" applyFont="1"/>
    <xf numFmtId="0" fontId="3" fillId="0" borderId="2" xfId="0" applyFont="1" applyBorder="1"/>
    <xf numFmtId="0" fontId="0" fillId="0" borderId="0" xfId="0" applyAlignment="1"/>
    <xf numFmtId="0" fontId="1" fillId="0" borderId="11" xfId="0" applyFont="1" applyBorder="1"/>
    <xf numFmtId="0" fontId="0" fillId="0" borderId="12" xfId="0" applyBorder="1"/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'Burndown Completo'!$A$14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1697</c:v>
                </c:pt>
                <c:pt idx="1">
                  <c:v>1577</c:v>
                </c:pt>
                <c:pt idx="2">
                  <c:v>1437</c:v>
                </c:pt>
                <c:pt idx="3">
                  <c:v>1297</c:v>
                </c:pt>
                <c:pt idx="4">
                  <c:v>1120</c:v>
                </c:pt>
                <c:pt idx="5">
                  <c:v>1000</c:v>
                </c:pt>
                <c:pt idx="6">
                  <c:v>900</c:v>
                </c:pt>
                <c:pt idx="7">
                  <c:v>820</c:v>
                </c:pt>
                <c:pt idx="8">
                  <c:v>720</c:v>
                </c:pt>
                <c:pt idx="9">
                  <c:v>574</c:v>
                </c:pt>
                <c:pt idx="10">
                  <c:v>424</c:v>
                </c:pt>
                <c:pt idx="11">
                  <c:v>256</c:v>
                </c:pt>
                <c:pt idx="1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'Burndown Completo'!$A$15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'Burndown Completo'!$B$15:$N$15</c:f>
              <c:numCache>
                <c:formatCode>General</c:formatCode>
                <c:ptCount val="13"/>
                <c:pt idx="0">
                  <c:v>1697</c:v>
                </c:pt>
                <c:pt idx="1">
                  <c:v>1555.5833333333333</c:v>
                </c:pt>
                <c:pt idx="2">
                  <c:v>1414.1666666666665</c:v>
                </c:pt>
                <c:pt idx="3">
                  <c:v>1272.7499999999998</c:v>
                </c:pt>
                <c:pt idx="4">
                  <c:v>1131.333333333333</c:v>
                </c:pt>
                <c:pt idx="5">
                  <c:v>989.9166666666664</c:v>
                </c:pt>
                <c:pt idx="6">
                  <c:v>848.49999999999977</c:v>
                </c:pt>
                <c:pt idx="7">
                  <c:v>707.08333333333314</c:v>
                </c:pt>
                <c:pt idx="8">
                  <c:v>565.66666666666652</c:v>
                </c:pt>
                <c:pt idx="9">
                  <c:v>424.24999999999989</c:v>
                </c:pt>
                <c:pt idx="10">
                  <c:v>282.83333333333326</c:v>
                </c:pt>
                <c:pt idx="11">
                  <c:v>141.4166666666666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60776"/>
        <c:axId val="431561168"/>
      </c:lineChart>
      <c:catAx>
        <c:axId val="43156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1168"/>
        <c:crosses val="autoZero"/>
        <c:auto val="1"/>
        <c:lblAlgn val="ctr"/>
        <c:lblOffset val="100"/>
        <c:noMultiLvlLbl val="0"/>
      </c:catAx>
      <c:valAx>
        <c:axId val="43156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07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[1]Atividades!$B$1:$I$1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[1]!Restante</c:f>
              <c:numCache>
                <c:formatCode>General</c:formatCode>
                <c:ptCount val="8"/>
                <c:pt idx="0">
                  <c:v>127</c:v>
                </c:pt>
                <c:pt idx="1">
                  <c:v>102</c:v>
                </c:pt>
                <c:pt idx="2">
                  <c:v>88</c:v>
                </c:pt>
                <c:pt idx="3">
                  <c:v>66</c:v>
                </c:pt>
                <c:pt idx="4">
                  <c:v>38</c:v>
                </c:pt>
                <c:pt idx="5">
                  <c:v>15</c:v>
                </c:pt>
                <c:pt idx="6">
                  <c:v>9</c:v>
                </c:pt>
                <c:pt idx="7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[1]Atividades!$A$13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[1]Atividades!$B$1:$I$1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[1]Atividades!$B$13:$I$13</c:f>
              <c:numCache>
                <c:formatCode>General</c:formatCode>
                <c:ptCount val="8"/>
                <c:pt idx="0">
                  <c:v>127</c:v>
                </c:pt>
                <c:pt idx="1">
                  <c:v>108.85714285714286</c:v>
                </c:pt>
                <c:pt idx="2">
                  <c:v>90.714285714285722</c:v>
                </c:pt>
                <c:pt idx="3">
                  <c:v>72.571428571428584</c:v>
                </c:pt>
                <c:pt idx="4">
                  <c:v>54.428571428571445</c:v>
                </c:pt>
                <c:pt idx="5">
                  <c:v>36.285714285714306</c:v>
                </c:pt>
                <c:pt idx="6">
                  <c:v>18.142857142857164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63520"/>
        <c:axId val="431563912"/>
      </c:lineChart>
      <c:catAx>
        <c:axId val="43156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3912"/>
        <c:crosses val="autoZero"/>
        <c:auto val="1"/>
        <c:lblAlgn val="ctr"/>
        <c:lblOffset val="100"/>
        <c:noMultiLvlLbl val="0"/>
      </c:catAx>
      <c:valAx>
        <c:axId val="431563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35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[2]Atividades!$B$1:$I$1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[2]!Restante</c:f>
              <c:numCache>
                <c:formatCode>General</c:formatCode>
                <c:ptCount val="8"/>
                <c:pt idx="0">
                  <c:v>108</c:v>
                </c:pt>
                <c:pt idx="1">
                  <c:v>90</c:v>
                </c:pt>
                <c:pt idx="2">
                  <c:v>80</c:v>
                </c:pt>
                <c:pt idx="3">
                  <c:v>57</c:v>
                </c:pt>
                <c:pt idx="4">
                  <c:v>50</c:v>
                </c:pt>
                <c:pt idx="5">
                  <c:v>30</c:v>
                </c:pt>
                <c:pt idx="6">
                  <c:v>22</c:v>
                </c:pt>
                <c:pt idx="7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[2]Atividades!$A$13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[2]Atividades!$B$1:$I$1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[2]Atividades!$B$13:$I$13</c:f>
              <c:numCache>
                <c:formatCode>General</c:formatCode>
                <c:ptCount val="8"/>
                <c:pt idx="0">
                  <c:v>108</c:v>
                </c:pt>
                <c:pt idx="1">
                  <c:v>92.571428571428569</c:v>
                </c:pt>
                <c:pt idx="2">
                  <c:v>77.142857142857139</c:v>
                </c:pt>
                <c:pt idx="3">
                  <c:v>61.714285714285708</c:v>
                </c:pt>
                <c:pt idx="4">
                  <c:v>46.285714285714278</c:v>
                </c:pt>
                <c:pt idx="5">
                  <c:v>30.857142857142847</c:v>
                </c:pt>
                <c:pt idx="6">
                  <c:v>15.428571428571418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64696"/>
        <c:axId val="431560384"/>
      </c:lineChart>
      <c:catAx>
        <c:axId val="431564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0384"/>
        <c:crosses val="autoZero"/>
        <c:auto val="1"/>
        <c:lblAlgn val="ctr"/>
        <c:lblOffset val="100"/>
        <c:noMultiLvlLbl val="0"/>
      </c:catAx>
      <c:valAx>
        <c:axId val="431560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469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[3]Atividades!$A$12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[3]Atividades!$B$1:$I$1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[3]!Restante</c:f>
              <c:numCache>
                <c:formatCode>General</c:formatCode>
                <c:ptCount val="8"/>
                <c:pt idx="0">
                  <c:v>75</c:v>
                </c:pt>
                <c:pt idx="1">
                  <c:v>57</c:v>
                </c:pt>
                <c:pt idx="2">
                  <c:v>51</c:v>
                </c:pt>
                <c:pt idx="3">
                  <c:v>38</c:v>
                </c:pt>
                <c:pt idx="4">
                  <c:v>27</c:v>
                </c:pt>
                <c:pt idx="5">
                  <c:v>2</c:v>
                </c:pt>
                <c:pt idx="6">
                  <c:v>-7</c:v>
                </c:pt>
                <c:pt idx="7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[3]Atividades!$A$13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[3]Atividades!$B$1:$I$1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[3]Atividades!$B$13:$I$13</c:f>
              <c:numCache>
                <c:formatCode>General</c:formatCode>
                <c:ptCount val="8"/>
                <c:pt idx="0">
                  <c:v>75</c:v>
                </c:pt>
                <c:pt idx="1">
                  <c:v>64.285714285714292</c:v>
                </c:pt>
                <c:pt idx="2">
                  <c:v>53.571428571428577</c:v>
                </c:pt>
                <c:pt idx="3">
                  <c:v>42.857142857142861</c:v>
                </c:pt>
                <c:pt idx="4">
                  <c:v>32.142857142857146</c:v>
                </c:pt>
                <c:pt idx="5">
                  <c:v>21.428571428571431</c:v>
                </c:pt>
                <c:pt idx="6">
                  <c:v>10.714285714285717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61560"/>
        <c:axId val="431558816"/>
      </c:lineChart>
      <c:catAx>
        <c:axId val="431561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58816"/>
        <c:crosses val="autoZero"/>
        <c:auto val="1"/>
        <c:lblAlgn val="ctr"/>
        <c:lblOffset val="100"/>
        <c:noMultiLvlLbl val="0"/>
      </c:catAx>
      <c:valAx>
        <c:axId val="431558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15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[4]Atividades!$A$12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[4]Atividades!$B$1:$I$1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[4]!Restante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[4]Atividades!$A$13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[4]Atividades!$B$1:$I$1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[4]Atividades!$B$13:$I$13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59600"/>
        <c:axId val="431559208"/>
      </c:lineChart>
      <c:catAx>
        <c:axId val="43155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59208"/>
        <c:crosses val="autoZero"/>
        <c:auto val="1"/>
        <c:lblAlgn val="ctr"/>
        <c:lblOffset val="100"/>
        <c:noMultiLvlLbl val="0"/>
      </c:catAx>
      <c:valAx>
        <c:axId val="431559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5960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[5]Atividades!$A$12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[5]Atividades!$B$1:$I$1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[5]!Restante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[5]Atividades!$A$13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[5]Atividades!$B$1:$I$1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[5]Atividades!$B$13:$I$13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58032"/>
        <c:axId val="431558424"/>
      </c:lineChart>
      <c:catAx>
        <c:axId val="43155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58424"/>
        <c:crosses val="autoZero"/>
        <c:auto val="1"/>
        <c:lblAlgn val="ctr"/>
        <c:lblOffset val="100"/>
        <c:noMultiLvlLbl val="0"/>
      </c:catAx>
      <c:valAx>
        <c:axId val="431558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580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[6]Atividades!$A$12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[6]Atividades!$B$1:$I$1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[6]!Restante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[6]Atividades!$A$13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[6]Atividades!$B$1:$I$1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[6]Atividades!$B$13:$I$13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1561952"/>
        <c:axId val="430388664"/>
      </c:lineChart>
      <c:catAx>
        <c:axId val="43156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8664"/>
        <c:crosses val="autoZero"/>
        <c:auto val="1"/>
        <c:lblAlgn val="ctr"/>
        <c:lblOffset val="100"/>
        <c:noMultiLvlLbl val="0"/>
      </c:catAx>
      <c:valAx>
        <c:axId val="430388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15619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[7]Atividades!$A$12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[7]Atividades!$B$1:$I$1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[7]!Restante</c:f>
              <c:numCache>
                <c:formatCode>General</c:formatCode>
                <c:ptCount val="8"/>
                <c:pt idx="0">
                  <c:v>188</c:v>
                </c:pt>
                <c:pt idx="1">
                  <c:v>163</c:v>
                </c:pt>
                <c:pt idx="2">
                  <c:v>145</c:v>
                </c:pt>
                <c:pt idx="3">
                  <c:v>124</c:v>
                </c:pt>
                <c:pt idx="4">
                  <c:v>101</c:v>
                </c:pt>
                <c:pt idx="5">
                  <c:v>77</c:v>
                </c:pt>
                <c:pt idx="6">
                  <c:v>59</c:v>
                </c:pt>
                <c:pt idx="7">
                  <c:v>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[7]Atividades!$A$13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[7]Atividades!$B$1:$I$1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[7]Atividades!$B$13:$I$13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161.14285714285714</c:v>
                </c:pt>
                <c:pt idx="2">
                  <c:v>134.28571428571428</c:v>
                </c:pt>
                <c:pt idx="3">
                  <c:v>107.42857142857142</c:v>
                </c:pt>
                <c:pt idx="4">
                  <c:v>80.571428571428555</c:v>
                </c:pt>
                <c:pt idx="5">
                  <c:v>53.714285714285694</c:v>
                </c:pt>
                <c:pt idx="6">
                  <c:v>26.857142857142836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30384352"/>
        <c:axId val="430383568"/>
      </c:lineChart>
      <c:catAx>
        <c:axId val="43038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3568"/>
        <c:crosses val="autoZero"/>
        <c:auto val="1"/>
        <c:lblAlgn val="ctr"/>
        <c:lblOffset val="100"/>
        <c:noMultiLvlLbl val="0"/>
      </c:catAx>
      <c:valAx>
        <c:axId val="43038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43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'Burndown Completo'!$A$14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1697</c:v>
                </c:pt>
                <c:pt idx="1">
                  <c:v>1577</c:v>
                </c:pt>
                <c:pt idx="2">
                  <c:v>1437</c:v>
                </c:pt>
                <c:pt idx="3">
                  <c:v>1297</c:v>
                </c:pt>
                <c:pt idx="4">
                  <c:v>1120</c:v>
                </c:pt>
                <c:pt idx="5">
                  <c:v>1000</c:v>
                </c:pt>
                <c:pt idx="6">
                  <c:v>900</c:v>
                </c:pt>
                <c:pt idx="7">
                  <c:v>820</c:v>
                </c:pt>
                <c:pt idx="8">
                  <c:v>720</c:v>
                </c:pt>
                <c:pt idx="9">
                  <c:v>574</c:v>
                </c:pt>
                <c:pt idx="10">
                  <c:v>424</c:v>
                </c:pt>
                <c:pt idx="11">
                  <c:v>256</c:v>
                </c:pt>
                <c:pt idx="1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'Burndown Completo'!$A$15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'Burndown Completo'!$B$15:$N$15</c:f>
              <c:numCache>
                <c:formatCode>General</c:formatCode>
                <c:ptCount val="13"/>
                <c:pt idx="0">
                  <c:v>1697</c:v>
                </c:pt>
                <c:pt idx="1">
                  <c:v>1555.5833333333333</c:v>
                </c:pt>
                <c:pt idx="2">
                  <c:v>1414.1666666666665</c:v>
                </c:pt>
                <c:pt idx="3">
                  <c:v>1272.7499999999998</c:v>
                </c:pt>
                <c:pt idx="4">
                  <c:v>1131.333333333333</c:v>
                </c:pt>
                <c:pt idx="5">
                  <c:v>989.9166666666664</c:v>
                </c:pt>
                <c:pt idx="6">
                  <c:v>848.49999999999977</c:v>
                </c:pt>
                <c:pt idx="7">
                  <c:v>707.08333333333314</c:v>
                </c:pt>
                <c:pt idx="8">
                  <c:v>565.66666666666652</c:v>
                </c:pt>
                <c:pt idx="9">
                  <c:v>424.24999999999989</c:v>
                </c:pt>
                <c:pt idx="10">
                  <c:v>282.83333333333326</c:v>
                </c:pt>
                <c:pt idx="11">
                  <c:v>141.4166666666666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0390624"/>
        <c:axId val="430385528"/>
      </c:lineChart>
      <c:catAx>
        <c:axId val="43039062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5528"/>
        <c:crosses val="autoZero"/>
        <c:auto val="1"/>
        <c:lblAlgn val="ctr"/>
        <c:lblOffset val="100"/>
        <c:noMultiLvlLbl val="0"/>
      </c:catAx>
      <c:valAx>
        <c:axId val="430385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9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'Burndown Completo'!$A$14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1697</c:v>
                </c:pt>
                <c:pt idx="1">
                  <c:v>1577</c:v>
                </c:pt>
                <c:pt idx="2">
                  <c:v>1437</c:v>
                </c:pt>
                <c:pt idx="3">
                  <c:v>1297</c:v>
                </c:pt>
                <c:pt idx="4">
                  <c:v>1120</c:v>
                </c:pt>
                <c:pt idx="5">
                  <c:v>1000</c:v>
                </c:pt>
                <c:pt idx="6">
                  <c:v>900</c:v>
                </c:pt>
                <c:pt idx="7">
                  <c:v>820</c:v>
                </c:pt>
                <c:pt idx="8">
                  <c:v>720</c:v>
                </c:pt>
                <c:pt idx="9">
                  <c:v>574</c:v>
                </c:pt>
                <c:pt idx="10">
                  <c:v>424</c:v>
                </c:pt>
                <c:pt idx="11">
                  <c:v>256</c:v>
                </c:pt>
                <c:pt idx="1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'Burndown Completo'!$A$15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'Burndown Completo'!$B$1:$N$1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'Burndown Completo'!$B$15:$N$15</c:f>
              <c:numCache>
                <c:formatCode>General</c:formatCode>
                <c:ptCount val="13"/>
                <c:pt idx="0">
                  <c:v>1697</c:v>
                </c:pt>
                <c:pt idx="1">
                  <c:v>1555.5833333333333</c:v>
                </c:pt>
                <c:pt idx="2">
                  <c:v>1414.1666666666665</c:v>
                </c:pt>
                <c:pt idx="3">
                  <c:v>1272.7499999999998</c:v>
                </c:pt>
                <c:pt idx="4">
                  <c:v>1131.333333333333</c:v>
                </c:pt>
                <c:pt idx="5">
                  <c:v>989.9166666666664</c:v>
                </c:pt>
                <c:pt idx="6">
                  <c:v>848.49999999999977</c:v>
                </c:pt>
                <c:pt idx="7">
                  <c:v>707.08333333333314</c:v>
                </c:pt>
                <c:pt idx="8">
                  <c:v>565.66666666666652</c:v>
                </c:pt>
                <c:pt idx="9">
                  <c:v>424.24999999999989</c:v>
                </c:pt>
                <c:pt idx="10">
                  <c:v>282.83333333333326</c:v>
                </c:pt>
                <c:pt idx="11">
                  <c:v>141.4166666666666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0387880"/>
        <c:axId val="430388272"/>
      </c:lineChart>
      <c:catAx>
        <c:axId val="43038788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8272"/>
        <c:crosses val="autoZero"/>
        <c:auto val="1"/>
        <c:lblAlgn val="ctr"/>
        <c:lblOffset val="100"/>
        <c:noMultiLvlLbl val="0"/>
      </c:catAx>
      <c:valAx>
        <c:axId val="430388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038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</xdr:colOff>
      <xdr:row>18</xdr:row>
      <xdr:rowOff>154782</xdr:rowOff>
    </xdr:from>
    <xdr:to>
      <xdr:col>13</xdr:col>
      <xdr:colOff>142874</xdr:colOff>
      <xdr:row>37</xdr:row>
      <xdr:rowOff>97632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</xdr:row>
      <xdr:rowOff>0</xdr:rowOff>
    </xdr:from>
    <xdr:to>
      <xdr:col>1</xdr:col>
      <xdr:colOff>590550</xdr:colOff>
      <xdr:row>30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</xdr:row>
      <xdr:rowOff>9525</xdr:rowOff>
    </xdr:from>
    <xdr:to>
      <xdr:col>2</xdr:col>
      <xdr:colOff>523875</xdr:colOff>
      <xdr:row>30</xdr:row>
      <xdr:rowOff>85725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15</xdr:row>
      <xdr:rowOff>9525</xdr:rowOff>
    </xdr:from>
    <xdr:to>
      <xdr:col>2</xdr:col>
      <xdr:colOff>514350</xdr:colOff>
      <xdr:row>30</xdr:row>
      <xdr:rowOff>85725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</xdr:row>
      <xdr:rowOff>9525</xdr:rowOff>
    </xdr:from>
    <xdr:to>
      <xdr:col>1</xdr:col>
      <xdr:colOff>590550</xdr:colOff>
      <xdr:row>30</xdr:row>
      <xdr:rowOff>85725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</xdr:row>
      <xdr:rowOff>9525</xdr:rowOff>
    </xdr:from>
    <xdr:to>
      <xdr:col>1</xdr:col>
      <xdr:colOff>552450</xdr:colOff>
      <xdr:row>30</xdr:row>
      <xdr:rowOff>85725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</xdr:row>
      <xdr:rowOff>9525</xdr:rowOff>
    </xdr:from>
    <xdr:to>
      <xdr:col>1</xdr:col>
      <xdr:colOff>552450</xdr:colOff>
      <xdr:row>30</xdr:row>
      <xdr:rowOff>85725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15</xdr:row>
      <xdr:rowOff>0</xdr:rowOff>
    </xdr:from>
    <xdr:to>
      <xdr:col>1</xdr:col>
      <xdr:colOff>542925</xdr:colOff>
      <xdr:row>30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VI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VII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X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XI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XII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Gr&#225;fico%20burndown%20Sprint%20XII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V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127</v>
          </cell>
          <cell r="C13">
            <v>108.85714285714286</v>
          </cell>
          <cell r="D13">
            <v>90.714285714285722</v>
          </cell>
          <cell r="E13">
            <v>72.571428571428584</v>
          </cell>
          <cell r="F13">
            <v>54.428571428571445</v>
          </cell>
          <cell r="G13">
            <v>36.285714285714306</v>
          </cell>
          <cell r="H13">
            <v>18.142857142857164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VI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108</v>
          </cell>
          <cell r="C13">
            <v>92.571428571428569</v>
          </cell>
          <cell r="D13">
            <v>77.142857142857139</v>
          </cell>
          <cell r="E13">
            <v>61.714285714285708</v>
          </cell>
          <cell r="F13">
            <v>46.285714285714278</v>
          </cell>
          <cell r="G13">
            <v>30.857142857142847</v>
          </cell>
          <cell r="H13">
            <v>15.428571428571418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VII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75</v>
          </cell>
          <cell r="C13">
            <v>64.285714285714292</v>
          </cell>
          <cell r="D13">
            <v>53.571428571428577</v>
          </cell>
          <cell r="E13">
            <v>42.857142857142861</v>
          </cell>
          <cell r="F13">
            <v>32.142857142857146</v>
          </cell>
          <cell r="G13">
            <v>21.428571428571431</v>
          </cell>
          <cell r="H13">
            <v>10.714285714285717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X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200</v>
          </cell>
          <cell r="C13">
            <v>171.42857142857142</v>
          </cell>
          <cell r="D13">
            <v>142.85714285714283</v>
          </cell>
          <cell r="E13">
            <v>114.28571428571426</v>
          </cell>
          <cell r="F13">
            <v>85.714285714285694</v>
          </cell>
          <cell r="G13">
            <v>57.142857142857125</v>
          </cell>
          <cell r="H13">
            <v>28.571428571428552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XI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200</v>
          </cell>
          <cell r="C13">
            <v>171.42857142857142</v>
          </cell>
          <cell r="D13">
            <v>142.85714285714283</v>
          </cell>
          <cell r="E13">
            <v>114.28571428571426</v>
          </cell>
          <cell r="F13">
            <v>85.714285714285694</v>
          </cell>
          <cell r="G13">
            <v>57.142857142857125</v>
          </cell>
          <cell r="H13">
            <v>28.571428571428552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XII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200</v>
          </cell>
          <cell r="C13">
            <v>171.42857142857142</v>
          </cell>
          <cell r="D13">
            <v>142.85714285714283</v>
          </cell>
          <cell r="E13">
            <v>114.28571428571426</v>
          </cell>
          <cell r="F13">
            <v>85.714285714285694</v>
          </cell>
          <cell r="G13">
            <v>57.142857142857125</v>
          </cell>
          <cell r="H13">
            <v>28.571428571428552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ividades"/>
      <sheetName val="Burndown impressão color"/>
      <sheetName val="Burndown impressão pb"/>
      <sheetName val="Gráfico burndown Sprint XIII"/>
    </sheetNames>
    <definedNames>
      <definedName name="Restante" refersTo="#REF!"/>
    </definedNames>
    <sheetDataSet>
      <sheetData sheetId="0">
        <row r="1">
          <cell r="B1" t="str">
            <v>Total de horas</v>
          </cell>
          <cell r="C1" t="str">
            <v>Dia 1</v>
          </cell>
          <cell r="D1" t="str">
            <v>Dia 2</v>
          </cell>
          <cell r="E1" t="str">
            <v>Dia 3</v>
          </cell>
          <cell r="F1" t="str">
            <v>Dia 4</v>
          </cell>
          <cell r="G1" t="str">
            <v>Dia 5</v>
          </cell>
          <cell r="H1" t="str">
            <v>Dia 6</v>
          </cell>
          <cell r="I1" t="str">
            <v>Dia 7</v>
          </cell>
        </row>
        <row r="12">
          <cell r="A12" t="str">
            <v>Restante</v>
          </cell>
        </row>
        <row r="13">
          <cell r="A13" t="str">
            <v>Estimado</v>
          </cell>
          <cell r="B13">
            <v>188</v>
          </cell>
          <cell r="C13">
            <v>161.14285714285714</v>
          </cell>
          <cell r="D13">
            <v>134.28571428571428</v>
          </cell>
          <cell r="E13">
            <v>107.42857142857142</v>
          </cell>
          <cell r="F13">
            <v>80.571428571428555</v>
          </cell>
          <cell r="G13">
            <v>53.714285714285694</v>
          </cell>
          <cell r="H13">
            <v>26.857142857142836</v>
          </cell>
          <cell r="I13">
            <v>0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5"/>
  <sheetViews>
    <sheetView showGridLines="0" zoomScale="90" zoomScaleNormal="90" workbookViewId="0">
      <selection activeCell="Q7" sqref="Q7"/>
    </sheetView>
  </sheetViews>
  <sheetFormatPr defaultRowHeight="15" x14ac:dyDescent="0.25"/>
  <cols>
    <col min="1" max="1" width="9.7109375" bestFit="1" customWidth="1"/>
    <col min="2" max="2" width="34.8554687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7109375" bestFit="1" customWidth="1"/>
    <col min="12" max="12" width="11.42578125" customWidth="1"/>
    <col min="13" max="13" width="13" bestFit="1" customWidth="1"/>
    <col min="14" max="14" width="12.7109375" bestFit="1" customWidth="1"/>
    <col min="18" max="18" width="34.85546875" bestFit="1" customWidth="1"/>
  </cols>
  <sheetData>
    <row r="1" spans="1:14" x14ac:dyDescent="0.25">
      <c r="B1" s="9" t="s">
        <v>0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24</v>
      </c>
      <c r="N1" s="11" t="s">
        <v>25</v>
      </c>
    </row>
    <row r="2" spans="1:14" x14ac:dyDescent="0.25">
      <c r="A2" s="4" t="s">
        <v>3</v>
      </c>
      <c r="B2" s="5">
        <v>120</v>
      </c>
      <c r="C2" s="5">
        <v>120</v>
      </c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x14ac:dyDescent="0.25">
      <c r="A3" s="7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1"/>
      <c r="M3" s="1"/>
      <c r="N3" s="8"/>
    </row>
    <row r="4" spans="1:14" x14ac:dyDescent="0.25">
      <c r="A4" s="7" t="s">
        <v>5</v>
      </c>
      <c r="B4" s="1">
        <v>140</v>
      </c>
      <c r="C4" s="1"/>
      <c r="D4" s="1"/>
      <c r="E4" s="1">
        <v>140</v>
      </c>
      <c r="F4" s="1"/>
      <c r="G4" s="1"/>
      <c r="H4" s="1"/>
      <c r="I4" s="1"/>
      <c r="J4" s="1"/>
      <c r="K4" s="1"/>
      <c r="L4" s="1"/>
      <c r="M4" s="1"/>
      <c r="N4" s="8"/>
    </row>
    <row r="5" spans="1:14" x14ac:dyDescent="0.25">
      <c r="A5" s="7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1"/>
      <c r="M5" s="1"/>
      <c r="N5" s="8"/>
    </row>
    <row r="6" spans="1:14" x14ac:dyDescent="0.25">
      <c r="A6" s="7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1"/>
      <c r="M6" s="1"/>
      <c r="N6" s="8"/>
    </row>
    <row r="7" spans="1:14" x14ac:dyDescent="0.25">
      <c r="A7" s="7" t="s">
        <v>8</v>
      </c>
      <c r="B7" s="1">
        <v>108</v>
      </c>
      <c r="C7" s="1"/>
      <c r="D7" s="1"/>
      <c r="E7" s="1"/>
      <c r="F7" s="1"/>
      <c r="G7" s="1"/>
      <c r="H7" s="1">
        <v>100</v>
      </c>
      <c r="I7" s="1"/>
      <c r="J7" s="1"/>
      <c r="K7" s="1"/>
      <c r="L7" s="1"/>
      <c r="M7" s="1"/>
      <c r="N7" s="8"/>
    </row>
    <row r="8" spans="1:14" x14ac:dyDescent="0.25">
      <c r="A8" s="7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1"/>
      <c r="M8" s="1"/>
      <c r="N8" s="8"/>
    </row>
    <row r="9" spans="1:14" x14ac:dyDescent="0.25">
      <c r="A9" s="7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100</v>
      </c>
      <c r="K9" s="1"/>
      <c r="L9" s="1"/>
      <c r="M9" s="1"/>
      <c r="N9" s="8"/>
    </row>
    <row r="10" spans="1:14" x14ac:dyDescent="0.25">
      <c r="A10" s="7" t="s">
        <v>11</v>
      </c>
      <c r="B10" s="1">
        <v>146</v>
      </c>
      <c r="C10" s="1"/>
      <c r="D10" s="1"/>
      <c r="E10" s="1"/>
      <c r="F10" s="1"/>
      <c r="G10" s="1"/>
      <c r="H10" s="1"/>
      <c r="I10" s="1"/>
      <c r="J10" s="1"/>
      <c r="K10" s="1">
        <v>146</v>
      </c>
      <c r="L10" s="1"/>
      <c r="M10" s="1"/>
      <c r="N10" s="8"/>
    </row>
    <row r="11" spans="1:14" x14ac:dyDescent="0.25">
      <c r="A11" s="7" t="s">
        <v>12</v>
      </c>
      <c r="B11" s="1">
        <v>168</v>
      </c>
      <c r="C11" s="1"/>
      <c r="D11" s="1"/>
      <c r="E11" s="1"/>
      <c r="F11" s="1"/>
      <c r="G11" s="1"/>
      <c r="H11" s="1"/>
      <c r="I11" s="1"/>
      <c r="J11" s="1"/>
      <c r="K11" s="1"/>
      <c r="L11" s="1">
        <v>150</v>
      </c>
      <c r="M11" s="1"/>
      <c r="N11" s="8"/>
    </row>
    <row r="12" spans="1:14" x14ac:dyDescent="0.25">
      <c r="A12" s="7" t="s">
        <v>23</v>
      </c>
      <c r="B12" s="1">
        <v>190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168</v>
      </c>
      <c r="N12" s="8"/>
    </row>
    <row r="13" spans="1:14" x14ac:dyDescent="0.25">
      <c r="A13" s="7" t="s">
        <v>26</v>
      </c>
      <c r="B13" s="1">
        <v>188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>
        <v>160</v>
      </c>
    </row>
    <row r="14" spans="1:14" x14ac:dyDescent="0.25">
      <c r="A14" s="2" t="s">
        <v>1</v>
      </c>
      <c r="B14" s="3">
        <f>SUM($B$2:$B$13)</f>
        <v>1697</v>
      </c>
      <c r="C14" s="3">
        <f>IF(SUM(C2:C13)&gt;0,B14-SUM(C2:C13),"")</f>
        <v>1577</v>
      </c>
      <c r="D14" s="3">
        <f t="shared" ref="D14:N14" si="0">IF(SUM(D2:D13)&gt;0,C14-SUM(D2:D13),"")</f>
        <v>1437</v>
      </c>
      <c r="E14" s="3">
        <f t="shared" si="0"/>
        <v>1297</v>
      </c>
      <c r="F14" s="3">
        <f t="shared" si="0"/>
        <v>1120</v>
      </c>
      <c r="G14" s="3">
        <f t="shared" si="0"/>
        <v>1000</v>
      </c>
      <c r="H14" s="3">
        <f t="shared" si="0"/>
        <v>900</v>
      </c>
      <c r="I14" s="3">
        <f t="shared" si="0"/>
        <v>820</v>
      </c>
      <c r="J14" s="3">
        <f t="shared" si="0"/>
        <v>720</v>
      </c>
      <c r="K14" s="3">
        <f t="shared" si="0"/>
        <v>574</v>
      </c>
      <c r="L14" s="3">
        <f t="shared" si="0"/>
        <v>424</v>
      </c>
      <c r="M14" s="3">
        <f t="shared" si="0"/>
        <v>256</v>
      </c>
      <c r="N14" s="3">
        <f t="shared" si="0"/>
        <v>96</v>
      </c>
    </row>
    <row r="15" spans="1:14" x14ac:dyDescent="0.25">
      <c r="A15" s="2" t="s">
        <v>2</v>
      </c>
      <c r="B15" s="3">
        <f>SUM($B$2:$B$13)</f>
        <v>1697</v>
      </c>
      <c r="C15" s="3">
        <f>B15-($B$15/COUNTA($C$1:$N$1))</f>
        <v>1555.5833333333333</v>
      </c>
      <c r="D15" s="3">
        <f t="shared" ref="D15:N15" si="1">C15-($B$15/COUNTA($C$1:$N$1))</f>
        <v>1414.1666666666665</v>
      </c>
      <c r="E15" s="3">
        <f t="shared" si="1"/>
        <v>1272.7499999999998</v>
      </c>
      <c r="F15" s="3">
        <f t="shared" si="1"/>
        <v>1131.333333333333</v>
      </c>
      <c r="G15" s="3">
        <f t="shared" si="1"/>
        <v>989.9166666666664</v>
      </c>
      <c r="H15" s="3">
        <f t="shared" si="1"/>
        <v>848.49999999999977</v>
      </c>
      <c r="I15" s="3">
        <f t="shared" si="1"/>
        <v>707.08333333333314</v>
      </c>
      <c r="J15" s="3">
        <f t="shared" si="1"/>
        <v>565.66666666666652</v>
      </c>
      <c r="K15" s="3">
        <f t="shared" si="1"/>
        <v>424.24999999999989</v>
      </c>
      <c r="L15" s="3">
        <f t="shared" si="1"/>
        <v>282.83333333333326</v>
      </c>
      <c r="M15" s="3">
        <f t="shared" si="1"/>
        <v>141.4166666666666</v>
      </c>
      <c r="N15" s="3">
        <f t="shared" si="1"/>
        <v>0</v>
      </c>
    </row>
    <row r="20" spans="8:12" x14ac:dyDescent="0.25">
      <c r="H20" s="12"/>
    </row>
    <row r="29" spans="8:12" x14ac:dyDescent="0.25">
      <c r="L29" s="12"/>
    </row>
    <row r="40" spans="2:11" x14ac:dyDescent="0.25">
      <c r="B40" s="13" t="s">
        <v>27</v>
      </c>
      <c r="E40" s="17" t="s">
        <v>33</v>
      </c>
      <c r="F40" s="17"/>
      <c r="G40" s="17"/>
      <c r="H40" s="17"/>
      <c r="I40" s="17"/>
      <c r="J40" s="17"/>
      <c r="K40" s="17"/>
    </row>
    <row r="41" spans="2:11" x14ac:dyDescent="0.25">
      <c r="B41" s="3" t="s">
        <v>28</v>
      </c>
      <c r="E41" s="17" t="s">
        <v>34</v>
      </c>
      <c r="F41" s="17"/>
      <c r="G41" s="17"/>
      <c r="H41" s="17"/>
      <c r="I41" s="17"/>
      <c r="J41" s="17"/>
      <c r="K41" s="17"/>
    </row>
    <row r="42" spans="2:11" x14ac:dyDescent="0.25">
      <c r="B42" s="3" t="s">
        <v>29</v>
      </c>
      <c r="E42" s="14"/>
      <c r="F42" s="14"/>
      <c r="G42" s="14"/>
      <c r="H42" s="14"/>
      <c r="I42" s="14"/>
      <c r="J42" s="14"/>
      <c r="K42" s="14"/>
    </row>
    <row r="43" spans="2:11" x14ac:dyDescent="0.25">
      <c r="B43" s="3" t="s">
        <v>30</v>
      </c>
      <c r="E43" s="14"/>
      <c r="F43" s="14"/>
      <c r="G43" s="14"/>
      <c r="H43" s="14"/>
      <c r="I43" s="14"/>
      <c r="J43" s="14"/>
      <c r="K43" s="14"/>
    </row>
    <row r="44" spans="2:11" x14ac:dyDescent="0.25">
      <c r="B44" s="3" t="s">
        <v>31</v>
      </c>
      <c r="E44" s="14"/>
      <c r="F44" s="14"/>
      <c r="G44" s="14"/>
      <c r="H44" s="14"/>
      <c r="I44" s="14"/>
      <c r="J44" s="14"/>
      <c r="K44" s="14"/>
    </row>
    <row r="45" spans="2:11" x14ac:dyDescent="0.25">
      <c r="B45" s="3" t="s">
        <v>32</v>
      </c>
      <c r="E45" s="14"/>
      <c r="F45" s="14"/>
      <c r="G45" s="14"/>
      <c r="H45" s="14"/>
      <c r="I45" s="14"/>
      <c r="J45" s="14"/>
      <c r="K45" s="14"/>
    </row>
  </sheetData>
  <mergeCells count="2">
    <mergeCell ref="E40:K40"/>
    <mergeCell ref="E41:K4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D26" sqref="D26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42</v>
      </c>
      <c r="B2" s="5">
        <v>20</v>
      </c>
      <c r="C2" s="5">
        <v>3</v>
      </c>
      <c r="D2" s="5">
        <v>0</v>
      </c>
      <c r="E2" s="5">
        <v>3</v>
      </c>
      <c r="F2" s="5">
        <v>5</v>
      </c>
      <c r="G2" s="5">
        <v>5</v>
      </c>
      <c r="H2" s="5">
        <v>0</v>
      </c>
      <c r="I2" s="5">
        <v>0</v>
      </c>
    </row>
    <row r="3" spans="1:9" x14ac:dyDescent="0.25">
      <c r="A3" s="7" t="s">
        <v>43</v>
      </c>
      <c r="B3" s="1">
        <v>4</v>
      </c>
      <c r="C3" s="1">
        <v>4</v>
      </c>
      <c r="D3" s="1">
        <v>0</v>
      </c>
      <c r="E3" s="1">
        <v>0</v>
      </c>
      <c r="F3" s="1">
        <v>0</v>
      </c>
      <c r="G3" s="1">
        <v>5</v>
      </c>
      <c r="H3" s="1">
        <v>0</v>
      </c>
      <c r="I3" s="1">
        <v>0</v>
      </c>
    </row>
    <row r="4" spans="1:9" x14ac:dyDescent="0.25">
      <c r="A4" s="7" t="s">
        <v>44</v>
      </c>
      <c r="B4" s="1">
        <v>5</v>
      </c>
      <c r="C4" s="1">
        <v>0</v>
      </c>
      <c r="D4" s="1">
        <v>0</v>
      </c>
      <c r="E4" s="1">
        <v>0</v>
      </c>
      <c r="F4" s="1">
        <v>2</v>
      </c>
      <c r="G4" s="1">
        <v>0</v>
      </c>
      <c r="H4" s="1">
        <v>0</v>
      </c>
      <c r="I4" s="1">
        <v>3</v>
      </c>
    </row>
    <row r="5" spans="1:9" x14ac:dyDescent="0.25">
      <c r="A5" s="7" t="s">
        <v>45</v>
      </c>
      <c r="B5" s="1">
        <v>5</v>
      </c>
      <c r="C5" s="1">
        <v>0</v>
      </c>
      <c r="D5" s="1">
        <v>0</v>
      </c>
      <c r="E5" s="1">
        <v>4</v>
      </c>
      <c r="F5" s="1">
        <v>2</v>
      </c>
      <c r="G5" s="1">
        <v>0</v>
      </c>
      <c r="H5" s="1">
        <v>0</v>
      </c>
      <c r="I5" s="1">
        <v>0</v>
      </c>
    </row>
    <row r="6" spans="1:9" x14ac:dyDescent="0.25">
      <c r="A6" s="7" t="s">
        <v>46</v>
      </c>
      <c r="B6" s="1">
        <v>20</v>
      </c>
      <c r="C6" s="1">
        <v>4</v>
      </c>
      <c r="D6" s="1">
        <v>4</v>
      </c>
      <c r="E6" s="1">
        <v>5</v>
      </c>
      <c r="F6" s="1">
        <v>3</v>
      </c>
      <c r="G6" s="1">
        <v>4</v>
      </c>
      <c r="H6" s="1">
        <v>0</v>
      </c>
      <c r="I6" s="1">
        <v>4</v>
      </c>
    </row>
    <row r="7" spans="1:9" x14ac:dyDescent="0.25">
      <c r="A7" s="7" t="s">
        <v>47</v>
      </c>
      <c r="B7" s="1">
        <v>15</v>
      </c>
      <c r="C7" s="1">
        <v>4</v>
      </c>
      <c r="D7" s="1">
        <v>0</v>
      </c>
      <c r="E7" s="1">
        <v>0</v>
      </c>
      <c r="F7" s="1">
        <v>5</v>
      </c>
      <c r="G7" s="1">
        <v>5</v>
      </c>
      <c r="H7" s="1">
        <v>0</v>
      </c>
      <c r="I7" s="1">
        <v>0</v>
      </c>
    </row>
    <row r="8" spans="1:9" x14ac:dyDescent="0.25">
      <c r="A8" s="7" t="s">
        <v>48</v>
      </c>
      <c r="B8" s="1">
        <v>24</v>
      </c>
      <c r="C8" s="1">
        <v>5</v>
      </c>
      <c r="D8" s="1">
        <v>2</v>
      </c>
      <c r="E8" s="1">
        <v>5</v>
      </c>
      <c r="F8" s="1">
        <v>5</v>
      </c>
      <c r="G8" s="1">
        <v>0</v>
      </c>
      <c r="H8" s="1">
        <v>0</v>
      </c>
      <c r="I8" s="1">
        <v>3</v>
      </c>
    </row>
    <row r="9" spans="1:9" x14ac:dyDescent="0.25">
      <c r="A9" s="7" t="s">
        <v>49</v>
      </c>
      <c r="B9" s="1">
        <v>4</v>
      </c>
      <c r="C9" s="1">
        <v>0</v>
      </c>
      <c r="D9" s="1">
        <v>4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9" x14ac:dyDescent="0.25">
      <c r="A10" s="7" t="s">
        <v>50</v>
      </c>
      <c r="B10" s="1">
        <v>15</v>
      </c>
      <c r="C10" s="1">
        <v>0</v>
      </c>
      <c r="D10" s="1">
        <v>4</v>
      </c>
      <c r="E10" s="1">
        <v>5</v>
      </c>
      <c r="F10" s="1">
        <v>6</v>
      </c>
      <c r="G10" s="1">
        <v>0</v>
      </c>
      <c r="H10" s="1">
        <v>0</v>
      </c>
      <c r="I10" s="1">
        <v>0</v>
      </c>
    </row>
    <row r="11" spans="1:9" x14ac:dyDescent="0.25">
      <c r="A11" s="15" t="s">
        <v>51</v>
      </c>
      <c r="B11" s="16">
        <v>15</v>
      </c>
      <c r="C11" s="16">
        <v>5</v>
      </c>
      <c r="D11" s="16">
        <v>0</v>
      </c>
      <c r="E11" s="16">
        <v>0</v>
      </c>
      <c r="F11" s="16">
        <v>0</v>
      </c>
      <c r="G11" s="16">
        <v>4</v>
      </c>
      <c r="H11" s="16">
        <v>6</v>
      </c>
      <c r="I11" s="16">
        <v>0</v>
      </c>
    </row>
    <row r="12" spans="1:9" x14ac:dyDescent="0.25">
      <c r="A12" s="2" t="s">
        <v>1</v>
      </c>
      <c r="B12" s="3">
        <f>SUM($B$2:$B$11)</f>
        <v>127</v>
      </c>
      <c r="C12" s="3">
        <f t="shared" ref="C12:I12" si="0">IF(SUM(C2:C11)&gt;0,B12-SUM(C2:C11),"")</f>
        <v>102</v>
      </c>
      <c r="D12" s="3">
        <f t="shared" si="0"/>
        <v>88</v>
      </c>
      <c r="E12" s="3">
        <f t="shared" si="0"/>
        <v>66</v>
      </c>
      <c r="F12" s="3">
        <f t="shared" si="0"/>
        <v>38</v>
      </c>
      <c r="G12" s="3">
        <f t="shared" si="0"/>
        <v>15</v>
      </c>
      <c r="H12" s="3">
        <f t="shared" si="0"/>
        <v>9</v>
      </c>
      <c r="I12" s="3">
        <f t="shared" si="0"/>
        <v>-1</v>
      </c>
    </row>
    <row r="13" spans="1:9" x14ac:dyDescent="0.25">
      <c r="A13" s="2" t="s">
        <v>2</v>
      </c>
      <c r="B13" s="3">
        <f>SUM($B$2:$B$11)</f>
        <v>127</v>
      </c>
      <c r="C13" s="3">
        <f t="shared" ref="C13:I13" si="1">B13-($B$13/COUNTA($C$1:$I$1))</f>
        <v>108.85714285714286</v>
      </c>
      <c r="D13" s="3">
        <f t="shared" si="1"/>
        <v>90.714285714285722</v>
      </c>
      <c r="E13" s="3">
        <f t="shared" si="1"/>
        <v>72.571428571428584</v>
      </c>
      <c r="F13" s="3">
        <f t="shared" si="1"/>
        <v>54.428571428571445</v>
      </c>
      <c r="G13" s="3">
        <f t="shared" si="1"/>
        <v>36.285714285714306</v>
      </c>
      <c r="H13" s="3">
        <f t="shared" si="1"/>
        <v>18.142857142857164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A6" sqref="A6"/>
    </sheetView>
  </sheetViews>
  <sheetFormatPr defaultRowHeight="15" x14ac:dyDescent="0.25"/>
  <cols>
    <col min="1" max="1" width="48.2851562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52</v>
      </c>
      <c r="B2" s="5">
        <v>12</v>
      </c>
      <c r="C2" s="5">
        <v>3</v>
      </c>
      <c r="D2" s="5">
        <v>0</v>
      </c>
      <c r="E2" s="5">
        <v>3</v>
      </c>
      <c r="F2" s="5">
        <v>0</v>
      </c>
      <c r="G2" s="5">
        <v>4</v>
      </c>
      <c r="H2" s="5">
        <v>0</v>
      </c>
      <c r="I2" s="5">
        <v>2</v>
      </c>
    </row>
    <row r="3" spans="1:9" x14ac:dyDescent="0.25">
      <c r="A3" s="7" t="s">
        <v>53</v>
      </c>
      <c r="B3" s="1">
        <v>10</v>
      </c>
      <c r="C3" s="1">
        <v>0</v>
      </c>
      <c r="D3" s="1">
        <v>0</v>
      </c>
      <c r="E3" s="1">
        <v>5</v>
      </c>
      <c r="F3" s="1">
        <v>0</v>
      </c>
      <c r="G3" s="1">
        <v>5</v>
      </c>
      <c r="H3" s="1">
        <v>0</v>
      </c>
      <c r="I3" s="1">
        <v>0</v>
      </c>
    </row>
    <row r="4" spans="1:9" x14ac:dyDescent="0.25">
      <c r="A4" s="7" t="s">
        <v>54</v>
      </c>
      <c r="B4" s="1">
        <v>10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7" t="s">
        <v>55</v>
      </c>
      <c r="B5" s="1">
        <v>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x14ac:dyDescent="0.25">
      <c r="A6" s="7" t="s">
        <v>56</v>
      </c>
      <c r="B6" s="1">
        <v>10</v>
      </c>
      <c r="C6" s="1">
        <v>4</v>
      </c>
      <c r="D6" s="1">
        <v>4</v>
      </c>
      <c r="E6" s="1">
        <v>5</v>
      </c>
      <c r="F6" s="1">
        <v>0</v>
      </c>
      <c r="G6" s="1">
        <v>4</v>
      </c>
      <c r="H6" s="1">
        <v>0</v>
      </c>
      <c r="I6" s="1">
        <v>0</v>
      </c>
    </row>
    <row r="7" spans="1:9" x14ac:dyDescent="0.25">
      <c r="A7" s="7" t="s">
        <v>57</v>
      </c>
      <c r="B7" s="1">
        <v>15</v>
      </c>
      <c r="C7" s="1">
        <v>4</v>
      </c>
      <c r="D7" s="1">
        <v>0</v>
      </c>
      <c r="E7" s="1">
        <v>5</v>
      </c>
      <c r="F7" s="1">
        <v>5</v>
      </c>
      <c r="G7" s="1">
        <v>0</v>
      </c>
      <c r="H7" s="1">
        <v>2</v>
      </c>
      <c r="I7" s="1">
        <v>0</v>
      </c>
    </row>
    <row r="8" spans="1:9" x14ac:dyDescent="0.25">
      <c r="A8" s="7" t="s">
        <v>58</v>
      </c>
      <c r="B8" s="1">
        <v>10</v>
      </c>
      <c r="C8" s="1">
        <v>2</v>
      </c>
      <c r="D8" s="1">
        <v>2</v>
      </c>
      <c r="E8" s="1">
        <v>5</v>
      </c>
      <c r="F8" s="1">
        <v>2</v>
      </c>
      <c r="G8" s="1">
        <v>2</v>
      </c>
      <c r="H8" s="1">
        <v>0</v>
      </c>
      <c r="I8" s="1">
        <v>0</v>
      </c>
    </row>
    <row r="9" spans="1:9" x14ac:dyDescent="0.25">
      <c r="A9" s="7" t="s">
        <v>59</v>
      </c>
      <c r="B9" s="1">
        <v>15</v>
      </c>
      <c r="C9" s="1">
        <v>0</v>
      </c>
      <c r="D9" s="1">
        <v>4</v>
      </c>
      <c r="E9" s="1">
        <v>0</v>
      </c>
      <c r="F9" s="1">
        <v>0</v>
      </c>
      <c r="G9" s="1">
        <v>5</v>
      </c>
      <c r="H9" s="1">
        <v>6</v>
      </c>
      <c r="I9" s="1">
        <v>0</v>
      </c>
    </row>
    <row r="10" spans="1:9" x14ac:dyDescent="0.25">
      <c r="A10" s="7" t="s">
        <v>60</v>
      </c>
      <c r="B10" s="1">
        <v>15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x14ac:dyDescent="0.25">
      <c r="A11" s="15" t="s">
        <v>61</v>
      </c>
      <c r="B11" s="16">
        <v>6</v>
      </c>
      <c r="C11" s="16">
        <v>5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</row>
    <row r="12" spans="1:9" x14ac:dyDescent="0.25">
      <c r="A12" s="2" t="s">
        <v>1</v>
      </c>
      <c r="B12" s="3">
        <f>SUM($B$2:$B$11)</f>
        <v>108</v>
      </c>
      <c r="C12" s="3">
        <f t="shared" ref="C12:I12" si="0">IF(SUM(C2:C11)&gt;0,B12-SUM(C2:C11),"")</f>
        <v>90</v>
      </c>
      <c r="D12" s="3">
        <f t="shared" si="0"/>
        <v>80</v>
      </c>
      <c r="E12" s="3">
        <f t="shared" si="0"/>
        <v>57</v>
      </c>
      <c r="F12" s="3">
        <f t="shared" si="0"/>
        <v>50</v>
      </c>
      <c r="G12" s="3">
        <f t="shared" si="0"/>
        <v>30</v>
      </c>
      <c r="H12" s="3">
        <f t="shared" si="0"/>
        <v>22</v>
      </c>
      <c r="I12" s="3">
        <f t="shared" si="0"/>
        <v>20</v>
      </c>
    </row>
    <row r="13" spans="1:9" x14ac:dyDescent="0.25">
      <c r="A13" s="2" t="s">
        <v>2</v>
      </c>
      <c r="B13" s="3">
        <f>SUM($B$2:$B$11)</f>
        <v>108</v>
      </c>
      <c r="C13" s="3">
        <f t="shared" ref="C13:I13" si="1">B13-($B$13/COUNTA($C$1:$I$1))</f>
        <v>92.571428571428569</v>
      </c>
      <c r="D13" s="3">
        <f t="shared" si="1"/>
        <v>77.142857142857139</v>
      </c>
      <c r="E13" s="3">
        <f t="shared" si="1"/>
        <v>61.714285714285708</v>
      </c>
      <c r="F13" s="3">
        <f t="shared" si="1"/>
        <v>46.285714285714278</v>
      </c>
      <c r="G13" s="3">
        <f t="shared" si="1"/>
        <v>30.857142857142847</v>
      </c>
      <c r="H13" s="3">
        <f t="shared" si="1"/>
        <v>15.428571428571418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F16" sqref="F16"/>
    </sheetView>
  </sheetViews>
  <sheetFormatPr defaultRowHeight="15" x14ac:dyDescent="0.25"/>
  <cols>
    <col min="1" max="1" width="48.2851562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62</v>
      </c>
      <c r="B2" s="5">
        <v>12</v>
      </c>
      <c r="C2" s="5">
        <v>3</v>
      </c>
      <c r="D2" s="5">
        <v>0</v>
      </c>
      <c r="E2" s="5">
        <v>0</v>
      </c>
      <c r="F2" s="5">
        <v>0</v>
      </c>
      <c r="G2" s="5">
        <v>4</v>
      </c>
      <c r="H2" s="5">
        <v>0</v>
      </c>
      <c r="I2" s="5">
        <v>2</v>
      </c>
    </row>
    <row r="3" spans="1:9" x14ac:dyDescent="0.25">
      <c r="A3" s="7" t="s">
        <v>63</v>
      </c>
      <c r="B3" s="1">
        <v>6</v>
      </c>
      <c r="C3" s="1">
        <v>6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x14ac:dyDescent="0.25">
      <c r="A4" s="7" t="s">
        <v>64</v>
      </c>
      <c r="B4" s="1">
        <v>10</v>
      </c>
      <c r="C4" s="1">
        <v>4</v>
      </c>
      <c r="D4" s="1">
        <v>2</v>
      </c>
      <c r="E4" s="1">
        <v>0</v>
      </c>
      <c r="F4" s="1">
        <v>4</v>
      </c>
      <c r="G4" s="1">
        <v>0</v>
      </c>
      <c r="H4" s="1">
        <v>0</v>
      </c>
      <c r="I4" s="1">
        <v>0</v>
      </c>
    </row>
    <row r="5" spans="1:9" x14ac:dyDescent="0.25">
      <c r="A5" s="7" t="s">
        <v>65</v>
      </c>
      <c r="B5" s="1">
        <v>6</v>
      </c>
      <c r="C5" s="1">
        <v>0</v>
      </c>
      <c r="D5" s="1">
        <v>0</v>
      </c>
      <c r="E5" s="1">
        <v>2</v>
      </c>
      <c r="F5" s="1">
        <v>0</v>
      </c>
      <c r="G5" s="1">
        <v>2</v>
      </c>
      <c r="H5" s="1">
        <v>2</v>
      </c>
      <c r="I5" s="1">
        <v>0</v>
      </c>
    </row>
    <row r="6" spans="1:9" x14ac:dyDescent="0.25">
      <c r="A6" s="7" t="s">
        <v>66</v>
      </c>
      <c r="B6" s="1">
        <v>5</v>
      </c>
      <c r="C6" s="1">
        <v>0</v>
      </c>
      <c r="D6" s="1">
        <v>0</v>
      </c>
      <c r="E6" s="1">
        <v>0</v>
      </c>
      <c r="F6" s="1">
        <v>0</v>
      </c>
      <c r="G6" s="1">
        <v>5</v>
      </c>
      <c r="H6" s="1">
        <v>0</v>
      </c>
      <c r="I6" s="1">
        <v>0</v>
      </c>
    </row>
    <row r="7" spans="1:9" x14ac:dyDescent="0.25">
      <c r="A7" s="7" t="s">
        <v>67</v>
      </c>
      <c r="B7" s="1">
        <v>8</v>
      </c>
      <c r="C7" s="1">
        <v>0</v>
      </c>
      <c r="D7" s="1">
        <v>0</v>
      </c>
      <c r="E7" s="1">
        <v>0</v>
      </c>
      <c r="F7" s="1">
        <v>5</v>
      </c>
      <c r="G7" s="1">
        <v>0</v>
      </c>
      <c r="H7" s="1">
        <v>3</v>
      </c>
      <c r="I7" s="1">
        <v>0</v>
      </c>
    </row>
    <row r="8" spans="1:9" x14ac:dyDescent="0.25">
      <c r="A8" s="7" t="s">
        <v>68</v>
      </c>
      <c r="B8" s="1">
        <v>10</v>
      </c>
      <c r="C8" s="1">
        <v>0</v>
      </c>
      <c r="D8" s="1">
        <v>0</v>
      </c>
      <c r="E8" s="1">
        <v>5</v>
      </c>
      <c r="F8" s="1">
        <v>2</v>
      </c>
      <c r="G8" s="1">
        <v>2</v>
      </c>
      <c r="H8" s="1">
        <v>2</v>
      </c>
      <c r="I8" s="1">
        <v>0</v>
      </c>
    </row>
    <row r="9" spans="1:9" x14ac:dyDescent="0.25">
      <c r="A9" s="7" t="s">
        <v>69</v>
      </c>
      <c r="B9" s="1">
        <v>6</v>
      </c>
      <c r="C9" s="1">
        <v>0</v>
      </c>
      <c r="D9" s="1">
        <v>4</v>
      </c>
      <c r="E9" s="1">
        <v>0</v>
      </c>
      <c r="F9" s="1">
        <v>0</v>
      </c>
      <c r="G9" s="1">
        <v>6</v>
      </c>
      <c r="H9" s="1">
        <v>2</v>
      </c>
      <c r="I9" s="1">
        <v>0</v>
      </c>
    </row>
    <row r="10" spans="1:9" x14ac:dyDescent="0.25">
      <c r="A10" s="7" t="s">
        <v>70</v>
      </c>
      <c r="B10" s="1">
        <v>6</v>
      </c>
      <c r="C10" s="1">
        <v>0</v>
      </c>
      <c r="D10" s="1">
        <v>0</v>
      </c>
      <c r="E10" s="1">
        <v>0</v>
      </c>
      <c r="F10" s="1">
        <v>0</v>
      </c>
      <c r="G10" s="1">
        <v>6</v>
      </c>
      <c r="H10" s="1">
        <v>0</v>
      </c>
      <c r="I10" s="1">
        <v>0</v>
      </c>
    </row>
    <row r="11" spans="1:9" x14ac:dyDescent="0.25">
      <c r="A11" s="15" t="s">
        <v>61</v>
      </c>
      <c r="B11" s="16">
        <v>6</v>
      </c>
      <c r="C11" s="16">
        <v>5</v>
      </c>
      <c r="D11" s="16">
        <v>0</v>
      </c>
      <c r="E11" s="16">
        <v>6</v>
      </c>
      <c r="F11" s="16">
        <v>0</v>
      </c>
      <c r="G11" s="16">
        <v>0</v>
      </c>
      <c r="H11" s="16">
        <v>0</v>
      </c>
      <c r="I11" s="16">
        <v>0</v>
      </c>
    </row>
    <row r="12" spans="1:9" x14ac:dyDescent="0.25">
      <c r="A12" s="2" t="s">
        <v>1</v>
      </c>
      <c r="B12" s="3">
        <f>SUM($B$2:$B$11)</f>
        <v>75</v>
      </c>
      <c r="C12" s="3">
        <f t="shared" ref="C12:I12" si="0">IF(SUM(C2:C11)&gt;0,B12-SUM(C2:C11),"")</f>
        <v>57</v>
      </c>
      <c r="D12" s="3">
        <f t="shared" si="0"/>
        <v>51</v>
      </c>
      <c r="E12" s="3">
        <f t="shared" si="0"/>
        <v>38</v>
      </c>
      <c r="F12" s="3">
        <f t="shared" si="0"/>
        <v>27</v>
      </c>
      <c r="G12" s="3">
        <f t="shared" si="0"/>
        <v>2</v>
      </c>
      <c r="H12" s="3">
        <f t="shared" si="0"/>
        <v>-7</v>
      </c>
      <c r="I12" s="3">
        <f t="shared" si="0"/>
        <v>-9</v>
      </c>
    </row>
    <row r="13" spans="1:9" x14ac:dyDescent="0.25">
      <c r="A13" s="2" t="s">
        <v>2</v>
      </c>
      <c r="B13" s="3">
        <f>SUM($B$2:$B$11)</f>
        <v>75</v>
      </c>
      <c r="C13" s="3">
        <f t="shared" ref="C13:I13" si="1">B13-($B$13/COUNTA($C$1:$I$1))</f>
        <v>64.285714285714292</v>
      </c>
      <c r="D13" s="3">
        <f t="shared" si="1"/>
        <v>53.571428571428577</v>
      </c>
      <c r="E13" s="3">
        <f t="shared" si="1"/>
        <v>42.857142857142861</v>
      </c>
      <c r="F13" s="3">
        <f t="shared" si="1"/>
        <v>32.142857142857146</v>
      </c>
      <c r="G13" s="3">
        <f t="shared" si="1"/>
        <v>21.428571428571431</v>
      </c>
      <c r="H13" s="3">
        <f t="shared" si="1"/>
        <v>10.714285714285717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G16" sqref="G16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71</v>
      </c>
      <c r="B2" s="5">
        <v>30</v>
      </c>
      <c r="C2" s="5">
        <v>2</v>
      </c>
      <c r="D2" s="5">
        <v>3</v>
      </c>
      <c r="E2" s="5">
        <v>4</v>
      </c>
      <c r="F2" s="5">
        <v>4</v>
      </c>
      <c r="G2" s="5">
        <v>4</v>
      </c>
      <c r="H2" s="5">
        <v>4</v>
      </c>
      <c r="I2" s="5">
        <v>4</v>
      </c>
    </row>
    <row r="3" spans="1:9" x14ac:dyDescent="0.25">
      <c r="A3" s="7" t="s">
        <v>72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73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74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75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76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77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78</v>
      </c>
      <c r="B9" s="1">
        <v>20</v>
      </c>
      <c r="C9" s="1">
        <v>5</v>
      </c>
      <c r="D9" s="1">
        <v>0</v>
      </c>
      <c r="E9" s="1">
        <v>0</v>
      </c>
      <c r="F9" s="1">
        <v>0</v>
      </c>
      <c r="G9" s="1">
        <v>2</v>
      </c>
      <c r="H9" s="1">
        <v>2</v>
      </c>
      <c r="I9" s="1">
        <v>0</v>
      </c>
    </row>
    <row r="10" spans="1:9" x14ac:dyDescent="0.25">
      <c r="A10" s="7" t="s">
        <v>50</v>
      </c>
      <c r="B10" s="1">
        <v>10</v>
      </c>
      <c r="C10" s="1">
        <v>3</v>
      </c>
      <c r="D10" s="1">
        <v>3</v>
      </c>
      <c r="E10" s="1">
        <v>0</v>
      </c>
      <c r="F10" s="1">
        <v>0</v>
      </c>
      <c r="G10" s="1">
        <v>5</v>
      </c>
      <c r="H10" s="1">
        <v>2</v>
      </c>
      <c r="I10" s="1">
        <v>0</v>
      </c>
    </row>
    <row r="11" spans="1:9" x14ac:dyDescent="0.25">
      <c r="A11" s="15" t="s">
        <v>51</v>
      </c>
      <c r="B11" s="16">
        <v>10</v>
      </c>
      <c r="C11" s="16">
        <v>0</v>
      </c>
      <c r="D11" s="16">
        <v>0</v>
      </c>
      <c r="E11" s="16">
        <v>5</v>
      </c>
      <c r="F11" s="16">
        <v>4</v>
      </c>
      <c r="G11" s="16">
        <v>0</v>
      </c>
      <c r="H11" s="16">
        <v>5</v>
      </c>
      <c r="I11" s="16">
        <v>3</v>
      </c>
    </row>
    <row r="12" spans="1:9" x14ac:dyDescent="0.25">
      <c r="A12" s="2" t="s">
        <v>1</v>
      </c>
      <c r="B12" s="3">
        <f>SUM($B$2:$B$11)</f>
        <v>200</v>
      </c>
      <c r="C12" s="3">
        <f t="shared" ref="C12:I12" si="0">IF(SUM(C2:C11)&gt;0,B12-SUM(C2:C11),"")</f>
        <v>178</v>
      </c>
      <c r="D12" s="3">
        <f t="shared" si="0"/>
        <v>156</v>
      </c>
      <c r="E12" s="3">
        <f t="shared" si="0"/>
        <v>133</v>
      </c>
      <c r="F12" s="3">
        <f t="shared" si="0"/>
        <v>107</v>
      </c>
      <c r="G12" s="3">
        <f t="shared" si="0"/>
        <v>83</v>
      </c>
      <c r="H12" s="3">
        <f t="shared" si="0"/>
        <v>59</v>
      </c>
      <c r="I12" s="3">
        <f t="shared" si="0"/>
        <v>43</v>
      </c>
    </row>
    <row r="13" spans="1:9" x14ac:dyDescent="0.25">
      <c r="A13" s="2" t="s">
        <v>2</v>
      </c>
      <c r="B13" s="3">
        <f>SUM($B$2:$B$11)</f>
        <v>200</v>
      </c>
      <c r="C13" s="3">
        <f t="shared" ref="C13:I13" si="1">B13-($B$13/COUNTA($C$1:$I$1))</f>
        <v>171.42857142857142</v>
      </c>
      <c r="D13" s="3">
        <f t="shared" si="1"/>
        <v>142.85714285714283</v>
      </c>
      <c r="E13" s="3">
        <f t="shared" si="1"/>
        <v>114.28571428571426</v>
      </c>
      <c r="F13" s="3">
        <f t="shared" si="1"/>
        <v>85.714285714285694</v>
      </c>
      <c r="G13" s="3">
        <f t="shared" si="1"/>
        <v>57.142857142857125</v>
      </c>
      <c r="H13" s="3">
        <f t="shared" si="1"/>
        <v>28.571428571428552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J11" sqref="J11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95</v>
      </c>
      <c r="B2" s="5">
        <v>10</v>
      </c>
      <c r="C2" s="5">
        <v>2</v>
      </c>
      <c r="D2" s="5">
        <v>3</v>
      </c>
      <c r="E2" s="5">
        <v>4</v>
      </c>
      <c r="F2" s="5">
        <v>4</v>
      </c>
      <c r="G2" s="5">
        <v>4</v>
      </c>
      <c r="H2" s="5">
        <v>4</v>
      </c>
      <c r="I2" s="5">
        <v>4</v>
      </c>
    </row>
    <row r="3" spans="1:9" x14ac:dyDescent="0.25">
      <c r="A3" s="18" t="s">
        <v>96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97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98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99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100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101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102</v>
      </c>
      <c r="B9" s="1">
        <v>20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9" x14ac:dyDescent="0.25">
      <c r="A10" s="7" t="s">
        <v>84</v>
      </c>
      <c r="B10" s="1">
        <v>20</v>
      </c>
      <c r="C10" s="1">
        <v>5</v>
      </c>
      <c r="D10" s="1">
        <v>5</v>
      </c>
      <c r="E10" s="1">
        <v>0</v>
      </c>
      <c r="F10" s="1">
        <v>0</v>
      </c>
      <c r="G10" s="1">
        <v>0</v>
      </c>
      <c r="H10" s="1">
        <v>2</v>
      </c>
      <c r="I10" s="1">
        <v>0</v>
      </c>
    </row>
    <row r="11" spans="1:9" x14ac:dyDescent="0.25">
      <c r="A11" s="15" t="s">
        <v>85</v>
      </c>
      <c r="B11" s="16">
        <v>10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</row>
    <row r="12" spans="1:9" x14ac:dyDescent="0.25">
      <c r="A12" s="2" t="s">
        <v>1</v>
      </c>
      <c r="B12" s="3">
        <f>SUM($B$2:$B$11)</f>
        <v>190</v>
      </c>
      <c r="C12" s="3">
        <f t="shared" ref="C12:I12" si="0">IF(SUM(C2:C11)&gt;0,B12-SUM(C2:C11),"")</f>
        <v>171</v>
      </c>
      <c r="D12" s="3">
        <f t="shared" si="0"/>
        <v>147</v>
      </c>
      <c r="E12" s="3">
        <f t="shared" si="0"/>
        <v>129</v>
      </c>
      <c r="F12" s="3">
        <f t="shared" si="0"/>
        <v>107</v>
      </c>
      <c r="G12" s="3">
        <f t="shared" si="0"/>
        <v>90</v>
      </c>
      <c r="H12" s="3">
        <f t="shared" si="0"/>
        <v>73</v>
      </c>
      <c r="I12" s="3">
        <f t="shared" si="0"/>
        <v>60</v>
      </c>
    </row>
    <row r="13" spans="1:9" x14ac:dyDescent="0.25">
      <c r="A13" s="2" t="s">
        <v>2</v>
      </c>
      <c r="B13" s="3">
        <f>SUM($B$2:$B$11)</f>
        <v>190</v>
      </c>
      <c r="C13" s="3">
        <f t="shared" ref="C13:I13" si="1">B13-($B$13/COUNTA($C$1:$I$1))</f>
        <v>162.85714285714286</v>
      </c>
      <c r="D13" s="3">
        <f t="shared" si="1"/>
        <v>135.71428571428572</v>
      </c>
      <c r="E13" s="3">
        <f t="shared" si="1"/>
        <v>108.57142857142858</v>
      </c>
      <c r="F13" s="3">
        <f t="shared" si="1"/>
        <v>81.428571428571445</v>
      </c>
      <c r="G13" s="3">
        <f t="shared" si="1"/>
        <v>54.285714285714306</v>
      </c>
      <c r="H13" s="3">
        <f t="shared" si="1"/>
        <v>27.142857142857164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E19" sqref="E19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79</v>
      </c>
      <c r="B2" s="5">
        <v>30</v>
      </c>
      <c r="C2" s="5">
        <v>2</v>
      </c>
      <c r="D2" s="5">
        <v>3</v>
      </c>
      <c r="E2" s="5">
        <v>4</v>
      </c>
      <c r="F2" s="5">
        <v>4</v>
      </c>
      <c r="G2" s="5">
        <v>4</v>
      </c>
      <c r="H2" s="5">
        <v>4</v>
      </c>
      <c r="I2" s="5">
        <v>4</v>
      </c>
    </row>
    <row r="3" spans="1:9" x14ac:dyDescent="0.25">
      <c r="A3" s="7" t="s">
        <v>72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73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80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81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82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83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78</v>
      </c>
      <c r="B9" s="1">
        <v>20</v>
      </c>
      <c r="C9" s="1">
        <v>5</v>
      </c>
      <c r="D9" s="1">
        <v>0</v>
      </c>
      <c r="E9" s="1">
        <v>0</v>
      </c>
      <c r="F9" s="1">
        <v>0</v>
      </c>
      <c r="G9" s="1">
        <v>2</v>
      </c>
      <c r="H9" s="1">
        <v>2</v>
      </c>
      <c r="I9" s="1">
        <v>0</v>
      </c>
    </row>
    <row r="10" spans="1:9" x14ac:dyDescent="0.25">
      <c r="A10" s="7" t="s">
        <v>84</v>
      </c>
      <c r="B10" s="1">
        <v>10</v>
      </c>
      <c r="C10" s="1">
        <v>3</v>
      </c>
      <c r="D10" s="1">
        <v>3</v>
      </c>
      <c r="E10" s="1">
        <v>0</v>
      </c>
      <c r="F10" s="1">
        <v>0</v>
      </c>
      <c r="G10" s="1">
        <v>5</v>
      </c>
      <c r="H10" s="1">
        <v>2</v>
      </c>
      <c r="I10" s="1">
        <v>0</v>
      </c>
    </row>
    <row r="11" spans="1:9" x14ac:dyDescent="0.25">
      <c r="A11" s="15" t="s">
        <v>85</v>
      </c>
      <c r="B11" s="16">
        <v>10</v>
      </c>
      <c r="C11" s="16">
        <v>0</v>
      </c>
      <c r="D11" s="16">
        <v>0</v>
      </c>
      <c r="E11" s="16">
        <v>5</v>
      </c>
      <c r="F11" s="16">
        <v>4</v>
      </c>
      <c r="G11" s="16">
        <v>0</v>
      </c>
      <c r="H11" s="16">
        <v>5</v>
      </c>
      <c r="I11" s="16">
        <v>3</v>
      </c>
    </row>
    <row r="12" spans="1:9" x14ac:dyDescent="0.25">
      <c r="A12" s="2" t="s">
        <v>1</v>
      </c>
      <c r="B12" s="3">
        <f>SUM($B$2:$B$11)</f>
        <v>200</v>
      </c>
      <c r="C12" s="3">
        <f t="shared" ref="C12:I12" si="0">IF(SUM(C2:C11)&gt;0,B12-SUM(C2:C11),"")</f>
        <v>178</v>
      </c>
      <c r="D12" s="3">
        <f t="shared" si="0"/>
        <v>156</v>
      </c>
      <c r="E12" s="3">
        <f t="shared" si="0"/>
        <v>133</v>
      </c>
      <c r="F12" s="3">
        <f t="shared" si="0"/>
        <v>107</v>
      </c>
      <c r="G12" s="3">
        <f t="shared" si="0"/>
        <v>83</v>
      </c>
      <c r="H12" s="3">
        <f t="shared" si="0"/>
        <v>59</v>
      </c>
      <c r="I12" s="3">
        <f t="shared" si="0"/>
        <v>43</v>
      </c>
    </row>
    <row r="13" spans="1:9" x14ac:dyDescent="0.25">
      <c r="A13" s="2" t="s">
        <v>2</v>
      </c>
      <c r="B13" s="3">
        <f>SUM($B$2:$B$11)</f>
        <v>200</v>
      </c>
      <c r="C13" s="3">
        <f t="shared" ref="C13:I13" si="1">B13-($B$13/COUNTA($C$1:$I$1))</f>
        <v>171.42857142857142</v>
      </c>
      <c r="D13" s="3">
        <f t="shared" si="1"/>
        <v>142.85714285714283</v>
      </c>
      <c r="E13" s="3">
        <f t="shared" si="1"/>
        <v>114.28571428571426</v>
      </c>
      <c r="F13" s="3">
        <f t="shared" si="1"/>
        <v>85.714285714285694</v>
      </c>
      <c r="G13" s="3">
        <f t="shared" si="1"/>
        <v>57.142857142857125</v>
      </c>
      <c r="H13" s="3">
        <f t="shared" si="1"/>
        <v>28.571428571428552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topLeftCell="A11" workbookViewId="0">
      <selection activeCell="E16" sqref="E16"/>
    </sheetView>
  </sheetViews>
  <sheetFormatPr defaultRowHeight="15" x14ac:dyDescent="0.25"/>
  <cols>
    <col min="1" max="1" width="70.85546875" bestFit="1" customWidth="1"/>
    <col min="2" max="2" width="13.5703125" bestFit="1" customWidth="1"/>
  </cols>
  <sheetData>
    <row r="1" spans="1:9" x14ac:dyDescent="0.25">
      <c r="B1" s="9" t="s">
        <v>0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</row>
    <row r="2" spans="1:9" x14ac:dyDescent="0.25">
      <c r="A2" s="4" t="s">
        <v>86</v>
      </c>
      <c r="B2" s="5">
        <v>30</v>
      </c>
      <c r="C2" s="5">
        <v>5</v>
      </c>
      <c r="D2" s="5">
        <v>2</v>
      </c>
      <c r="E2" s="5">
        <v>5</v>
      </c>
      <c r="F2" s="5">
        <v>4</v>
      </c>
      <c r="G2" s="5">
        <v>4</v>
      </c>
      <c r="H2" s="5">
        <v>5</v>
      </c>
      <c r="I2" s="5">
        <v>4</v>
      </c>
    </row>
    <row r="3" spans="1:9" x14ac:dyDescent="0.25">
      <c r="A3" s="7" t="s">
        <v>87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88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89</v>
      </c>
      <c r="B5" s="1">
        <v>30</v>
      </c>
      <c r="C5" s="1">
        <v>3</v>
      </c>
      <c r="D5" s="1">
        <v>0</v>
      </c>
      <c r="E5" s="1">
        <v>0</v>
      </c>
      <c r="F5" s="1">
        <v>5</v>
      </c>
      <c r="G5" s="1">
        <v>0</v>
      </c>
      <c r="H5" s="1">
        <v>0</v>
      </c>
      <c r="I5" s="1">
        <v>0</v>
      </c>
    </row>
    <row r="6" spans="1:9" x14ac:dyDescent="0.25">
      <c r="A6" s="7" t="s">
        <v>90</v>
      </c>
      <c r="B6" s="1">
        <v>20</v>
      </c>
      <c r="C6" s="1">
        <v>5</v>
      </c>
      <c r="D6" s="1">
        <v>4</v>
      </c>
      <c r="E6" s="1">
        <v>0</v>
      </c>
      <c r="F6" s="1">
        <v>0</v>
      </c>
      <c r="G6" s="1">
        <v>3</v>
      </c>
      <c r="H6" s="1">
        <v>0</v>
      </c>
      <c r="I6" s="1">
        <v>0</v>
      </c>
    </row>
    <row r="7" spans="1:9" x14ac:dyDescent="0.25">
      <c r="A7" s="7" t="s">
        <v>91</v>
      </c>
      <c r="B7" s="1">
        <v>11</v>
      </c>
      <c r="C7" s="1">
        <v>0</v>
      </c>
      <c r="D7" s="1">
        <v>2</v>
      </c>
      <c r="E7" s="1">
        <v>0</v>
      </c>
      <c r="F7" s="1">
        <v>0</v>
      </c>
      <c r="G7" s="1">
        <v>5</v>
      </c>
      <c r="H7" s="1">
        <v>0</v>
      </c>
      <c r="I7" s="1">
        <v>6</v>
      </c>
    </row>
    <row r="8" spans="1:9" x14ac:dyDescent="0.25">
      <c r="A8" s="7" t="s">
        <v>92</v>
      </c>
      <c r="B8" s="1">
        <v>3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3</v>
      </c>
    </row>
    <row r="9" spans="1:9" x14ac:dyDescent="0.25">
      <c r="A9" s="7" t="s">
        <v>93</v>
      </c>
      <c r="B9" s="1">
        <v>4</v>
      </c>
      <c r="C9" s="1">
        <v>3</v>
      </c>
      <c r="D9" s="1">
        <v>2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9" x14ac:dyDescent="0.25">
      <c r="A10" s="7" t="s">
        <v>84</v>
      </c>
      <c r="B10" s="1">
        <v>30</v>
      </c>
      <c r="C10" s="1">
        <v>5</v>
      </c>
      <c r="D10" s="1">
        <v>0</v>
      </c>
      <c r="E10" s="1">
        <v>4</v>
      </c>
      <c r="F10" s="1">
        <v>6</v>
      </c>
      <c r="G10" s="1">
        <v>5</v>
      </c>
      <c r="H10" s="1">
        <v>0</v>
      </c>
      <c r="I10" s="1">
        <v>12</v>
      </c>
    </row>
    <row r="11" spans="1:9" x14ac:dyDescent="0.25">
      <c r="A11" s="15" t="s">
        <v>94</v>
      </c>
      <c r="B11" s="16">
        <v>10</v>
      </c>
      <c r="C11" s="16">
        <v>0</v>
      </c>
      <c r="D11" s="16">
        <v>0</v>
      </c>
      <c r="E11" s="16">
        <v>5</v>
      </c>
      <c r="F11" s="16">
        <v>0</v>
      </c>
      <c r="G11" s="16">
        <v>0</v>
      </c>
      <c r="H11" s="16">
        <v>5</v>
      </c>
      <c r="I11" s="16">
        <v>0</v>
      </c>
    </row>
    <row r="12" spans="1:9" x14ac:dyDescent="0.25">
      <c r="A12" s="2" t="s">
        <v>1</v>
      </c>
      <c r="B12" s="3">
        <f>SUM($B$2:$B$11)</f>
        <v>188</v>
      </c>
      <c r="C12" s="3">
        <f t="shared" ref="C12:I12" si="0">IF(SUM(C2:C11)&gt;0,B12-SUM(C2:C11),"")</f>
        <v>163</v>
      </c>
      <c r="D12" s="3">
        <f t="shared" si="0"/>
        <v>145</v>
      </c>
      <c r="E12" s="3">
        <f t="shared" si="0"/>
        <v>124</v>
      </c>
      <c r="F12" s="3">
        <f t="shared" si="0"/>
        <v>101</v>
      </c>
      <c r="G12" s="3">
        <f t="shared" si="0"/>
        <v>77</v>
      </c>
      <c r="H12" s="3">
        <f t="shared" si="0"/>
        <v>59</v>
      </c>
      <c r="I12" s="3">
        <f t="shared" si="0"/>
        <v>28</v>
      </c>
    </row>
    <row r="13" spans="1:9" x14ac:dyDescent="0.25">
      <c r="A13" s="2" t="s">
        <v>2</v>
      </c>
      <c r="B13" s="3">
        <f>SUM($B$2:$B$11)</f>
        <v>188</v>
      </c>
      <c r="C13" s="3">
        <f t="shared" ref="C13:I13" si="1">B13-($B$13/COUNTA($C$1:$I$1))</f>
        <v>161.14285714285714</v>
      </c>
      <c r="D13" s="3">
        <f t="shared" si="1"/>
        <v>134.28571428571428</v>
      </c>
      <c r="E13" s="3">
        <f t="shared" si="1"/>
        <v>107.42857142857142</v>
      </c>
      <c r="F13" s="3">
        <f t="shared" si="1"/>
        <v>80.571428571428555</v>
      </c>
      <c r="G13" s="3">
        <f t="shared" si="1"/>
        <v>53.714285714285694</v>
      </c>
      <c r="H13" s="3">
        <f t="shared" si="1"/>
        <v>26.857142857142836</v>
      </c>
      <c r="I13" s="3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Burndown Completo</vt:lpstr>
      <vt:lpstr>Sprint V</vt:lpstr>
      <vt:lpstr>Sprint VI</vt:lpstr>
      <vt:lpstr>Sprint VII</vt:lpstr>
      <vt:lpstr>Sprint X</vt:lpstr>
      <vt:lpstr>Sprint XI</vt:lpstr>
      <vt:lpstr>Sprint XII</vt:lpstr>
      <vt:lpstr>Sprint XIII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2020-01-21T16:12:16Z</cp:lastPrinted>
  <dcterms:created xsi:type="dcterms:W3CDTF">2016-06-19T15:11:06Z</dcterms:created>
  <dcterms:modified xsi:type="dcterms:W3CDTF">2020-01-21T16:36:54Z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f23d08fe-d8e7-452a-9b06-fbdd4674104d</vt:lpwstr>
  </property>
</Properties>
</file>