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xampp\htdocs\PAGEUP\projetoEngenharia\pageUp new\pages\burndown\"/>
    </mc:Choice>
  </mc:AlternateContent>
  <bookViews>
    <workbookView xWindow="0" yWindow="0" windowWidth="20490" windowHeight="775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OFFSET(Atividades!$B$12,0,0,1,COUNT(Atividades!$B$12:$I$12))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C13" i="1" s="1"/>
  <c r="D13" i="1" s="1"/>
  <c r="E13" i="1" s="1"/>
  <c r="F13" i="1" s="1"/>
  <c r="G13" i="1" s="1"/>
  <c r="H13" i="1" s="1"/>
  <c r="I13" i="1" s="1"/>
  <c r="B12" i="1"/>
  <c r="C12" i="1" l="1"/>
  <c r="D12" i="1" s="1"/>
  <c r="E12" i="1" l="1"/>
  <c r="F12" i="1" s="1"/>
  <c r="G12" i="1" s="1"/>
  <c r="H12" i="1" s="1"/>
  <c r="I12" i="1" s="1"/>
</calcChain>
</file>

<file path=xl/sharedStrings.xml><?xml version="1.0" encoding="utf-8"?>
<sst xmlns="http://schemas.openxmlformats.org/spreadsheetml/2006/main" count="20" uniqueCount="20">
  <si>
    <t>Dia 1</t>
  </si>
  <si>
    <t>Dia 2</t>
  </si>
  <si>
    <t>Dia 3</t>
  </si>
  <si>
    <t>Dia 4</t>
  </si>
  <si>
    <t>Dia 5</t>
  </si>
  <si>
    <t>Dia 6</t>
  </si>
  <si>
    <t>Dia 7</t>
  </si>
  <si>
    <t>Total de horas</t>
  </si>
  <si>
    <t>Restante</t>
  </si>
  <si>
    <t>Estimado</t>
  </si>
  <si>
    <t>Gerenciar banco de dados no heroku (Postgress)</t>
  </si>
  <si>
    <t> implementar o backend e o frontend da página de pagamentos</t>
  </si>
  <si>
    <t xml:space="preserve"> Permitir inscrição de usuários em atividades pagas ao realizar o pagamento </t>
  </si>
  <si>
    <t> Deixar a aplicação de cupons funcional</t>
  </si>
  <si>
    <t xml:space="preserve"> Realizar testes na aplicação </t>
  </si>
  <si>
    <t xml:space="preserve"> Criar certificados para as atividades </t>
  </si>
  <si>
    <t xml:space="preserve"> Fazer a documetação do sistema </t>
  </si>
  <si>
    <t>Fechar burndown</t>
  </si>
  <si>
    <t>Gerenciar certificado do participante(Se compareceu ou não ao evento)</t>
  </si>
  <si>
    <t>Organizar entrega final do trabalho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</si>
</sst>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188</c:v>
                </c:pt>
                <c:pt idx="1">
                  <c:v>163</c:v>
                </c:pt>
                <c:pt idx="2">
                  <c:v>145</c:v>
                </c:pt>
                <c:pt idx="3">
                  <c:v>124</c:v>
                </c:pt>
                <c:pt idx="4">
                  <c:v>101</c:v>
                </c:pt>
                <c:pt idx="5">
                  <c:v>77</c:v>
                </c:pt>
                <c:pt idx="6">
                  <c:v>59</c:v>
                </c:pt>
                <c:pt idx="7">
                  <c:v>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188</c:v>
                </c:pt>
                <c:pt idx="1">
                  <c:v>161.14285714285714</c:v>
                </c:pt>
                <c:pt idx="2">
                  <c:v>134.28571428571428</c:v>
                </c:pt>
                <c:pt idx="3">
                  <c:v>107.42857142857142</c:v>
                </c:pt>
                <c:pt idx="4">
                  <c:v>80.571428571428555</c:v>
                </c:pt>
                <c:pt idx="5">
                  <c:v>53.714285714285694</c:v>
                </c:pt>
                <c:pt idx="6">
                  <c:v>26.857142857142836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13461912"/>
        <c:axId val="513462304"/>
      </c:lineChart>
      <c:catAx>
        <c:axId val="513461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3462304"/>
        <c:crosses val="autoZero"/>
        <c:auto val="1"/>
        <c:lblAlgn val="ctr"/>
        <c:lblOffset val="100"/>
        <c:noMultiLvlLbl val="0"/>
      </c:catAx>
      <c:valAx>
        <c:axId val="513462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346191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188</c:v>
                </c:pt>
                <c:pt idx="1">
                  <c:v>163</c:v>
                </c:pt>
                <c:pt idx="2">
                  <c:v>145</c:v>
                </c:pt>
                <c:pt idx="3">
                  <c:v>124</c:v>
                </c:pt>
                <c:pt idx="4">
                  <c:v>101</c:v>
                </c:pt>
                <c:pt idx="5">
                  <c:v>77</c:v>
                </c:pt>
                <c:pt idx="6">
                  <c:v>59</c:v>
                </c:pt>
                <c:pt idx="7">
                  <c:v>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188</c:v>
                </c:pt>
                <c:pt idx="1">
                  <c:v>161.14285714285714</c:v>
                </c:pt>
                <c:pt idx="2">
                  <c:v>134.28571428571428</c:v>
                </c:pt>
                <c:pt idx="3">
                  <c:v>107.42857142857142</c:v>
                </c:pt>
                <c:pt idx="4">
                  <c:v>80.571428571428555</c:v>
                </c:pt>
                <c:pt idx="5">
                  <c:v>53.714285714285694</c:v>
                </c:pt>
                <c:pt idx="6">
                  <c:v>26.857142857142836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9990728"/>
        <c:axId val="419991120"/>
      </c:lineChart>
      <c:catAx>
        <c:axId val="41999072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9991120"/>
        <c:crosses val="autoZero"/>
        <c:auto val="1"/>
        <c:lblAlgn val="ctr"/>
        <c:lblOffset val="100"/>
        <c:noMultiLvlLbl val="0"/>
      </c:catAx>
      <c:valAx>
        <c:axId val="4199911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9990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188</c:v>
                </c:pt>
                <c:pt idx="1">
                  <c:v>163</c:v>
                </c:pt>
                <c:pt idx="2">
                  <c:v>145</c:v>
                </c:pt>
                <c:pt idx="3">
                  <c:v>124</c:v>
                </c:pt>
                <c:pt idx="4">
                  <c:v>101</c:v>
                </c:pt>
                <c:pt idx="5">
                  <c:v>77</c:v>
                </c:pt>
                <c:pt idx="6">
                  <c:v>59</c:v>
                </c:pt>
                <c:pt idx="7">
                  <c:v>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188</c:v>
                </c:pt>
                <c:pt idx="1">
                  <c:v>161.14285714285714</c:v>
                </c:pt>
                <c:pt idx="2">
                  <c:v>134.28571428571428</c:v>
                </c:pt>
                <c:pt idx="3">
                  <c:v>107.42857142857142</c:v>
                </c:pt>
                <c:pt idx="4">
                  <c:v>80.571428571428555</c:v>
                </c:pt>
                <c:pt idx="5">
                  <c:v>53.714285714285694</c:v>
                </c:pt>
                <c:pt idx="6">
                  <c:v>26.857142857142836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9991904"/>
        <c:axId val="419992296"/>
      </c:lineChart>
      <c:catAx>
        <c:axId val="419991904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9992296"/>
        <c:crosses val="autoZero"/>
        <c:auto val="1"/>
        <c:lblAlgn val="ctr"/>
        <c:lblOffset val="100"/>
        <c:noMultiLvlLbl val="0"/>
      </c:catAx>
      <c:valAx>
        <c:axId val="4199922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999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13</xdr:row>
      <xdr:rowOff>114300</xdr:rowOff>
    </xdr:from>
    <xdr:to>
      <xdr:col>2</xdr:col>
      <xdr:colOff>76200</xdr:colOff>
      <xdr:row>29</xdr:row>
      <xdr:rowOff>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showGridLines="0" tabSelected="1" workbookViewId="0">
      <selection activeCell="D6" sqref="D6"/>
    </sheetView>
  </sheetViews>
  <sheetFormatPr defaultRowHeight="15" x14ac:dyDescent="0.25"/>
  <cols>
    <col min="1" max="1" width="70.85546875" bestFit="1" customWidth="1"/>
    <col min="2" max="2" width="13.5703125" bestFit="1" customWidth="1"/>
  </cols>
  <sheetData>
    <row r="1" spans="1:9" x14ac:dyDescent="0.25">
      <c r="B1" s="9" t="s">
        <v>7</v>
      </c>
      <c r="C1" s="10" t="s">
        <v>0</v>
      </c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</row>
    <row r="2" spans="1:9" x14ac:dyDescent="0.25">
      <c r="A2" s="5" t="s">
        <v>11</v>
      </c>
      <c r="B2" s="6">
        <v>30</v>
      </c>
      <c r="C2" s="6">
        <v>5</v>
      </c>
      <c r="D2" s="6">
        <v>2</v>
      </c>
      <c r="E2" s="6">
        <v>5</v>
      </c>
      <c r="F2" s="6">
        <v>4</v>
      </c>
      <c r="G2" s="6">
        <v>4</v>
      </c>
      <c r="H2" s="6">
        <v>5</v>
      </c>
      <c r="I2" s="6">
        <v>4</v>
      </c>
    </row>
    <row r="3" spans="1:9" x14ac:dyDescent="0.25">
      <c r="A3" s="7" t="s">
        <v>12</v>
      </c>
      <c r="B3" s="1">
        <v>20</v>
      </c>
      <c r="C3" s="1">
        <v>0</v>
      </c>
      <c r="D3" s="1">
        <v>4</v>
      </c>
      <c r="E3" s="1">
        <v>4</v>
      </c>
      <c r="F3" s="1">
        <v>4</v>
      </c>
      <c r="G3" s="1">
        <v>3</v>
      </c>
      <c r="H3" s="1">
        <v>4</v>
      </c>
      <c r="I3" s="1">
        <v>0</v>
      </c>
    </row>
    <row r="4" spans="1:9" x14ac:dyDescent="0.25">
      <c r="A4" s="7" t="s">
        <v>13</v>
      </c>
      <c r="B4" s="1">
        <v>30</v>
      </c>
      <c r="C4" s="1">
        <v>4</v>
      </c>
      <c r="D4" s="1">
        <v>4</v>
      </c>
      <c r="E4" s="1">
        <v>3</v>
      </c>
      <c r="F4" s="1">
        <v>4</v>
      </c>
      <c r="G4" s="1">
        <v>4</v>
      </c>
      <c r="H4" s="1">
        <v>4</v>
      </c>
      <c r="I4" s="1">
        <v>6</v>
      </c>
    </row>
    <row r="5" spans="1:9" x14ac:dyDescent="0.25">
      <c r="A5" s="7" t="s">
        <v>14</v>
      </c>
      <c r="B5" s="1">
        <v>30</v>
      </c>
      <c r="C5" s="1">
        <v>3</v>
      </c>
      <c r="D5" s="1">
        <v>0</v>
      </c>
      <c r="E5" s="1">
        <v>0</v>
      </c>
      <c r="F5" s="1">
        <v>5</v>
      </c>
      <c r="G5" s="1">
        <v>0</v>
      </c>
      <c r="H5" s="1">
        <v>0</v>
      </c>
      <c r="I5" s="1">
        <v>0</v>
      </c>
    </row>
    <row r="6" spans="1:9" x14ac:dyDescent="0.25">
      <c r="A6" s="7" t="s">
        <v>15</v>
      </c>
      <c r="B6" s="1">
        <v>20</v>
      </c>
      <c r="C6" s="1">
        <v>5</v>
      </c>
      <c r="D6" s="1">
        <v>4</v>
      </c>
      <c r="E6" s="1">
        <v>0</v>
      </c>
      <c r="F6" s="1">
        <v>0</v>
      </c>
      <c r="G6" s="1">
        <v>3</v>
      </c>
      <c r="H6" s="1">
        <v>0</v>
      </c>
      <c r="I6" s="1">
        <v>0</v>
      </c>
    </row>
    <row r="7" spans="1:9" x14ac:dyDescent="0.25">
      <c r="A7" s="7" t="s">
        <v>16</v>
      </c>
      <c r="B7" s="1">
        <v>11</v>
      </c>
      <c r="C7" s="1">
        <v>0</v>
      </c>
      <c r="D7" s="1">
        <v>2</v>
      </c>
      <c r="E7" s="1">
        <v>0</v>
      </c>
      <c r="F7" s="1">
        <v>0</v>
      </c>
      <c r="G7" s="1">
        <v>5</v>
      </c>
      <c r="H7" s="1">
        <v>0</v>
      </c>
      <c r="I7" s="1">
        <v>6</v>
      </c>
    </row>
    <row r="8" spans="1:9" x14ac:dyDescent="0.25">
      <c r="A8" s="7" t="s">
        <v>19</v>
      </c>
      <c r="B8" s="1">
        <v>3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3</v>
      </c>
    </row>
    <row r="9" spans="1:9" x14ac:dyDescent="0.25">
      <c r="A9" s="7" t="s">
        <v>17</v>
      </c>
      <c r="B9" s="1">
        <v>4</v>
      </c>
      <c r="C9" s="1">
        <v>3</v>
      </c>
      <c r="D9" s="1">
        <v>2</v>
      </c>
      <c r="E9" s="1">
        <v>0</v>
      </c>
      <c r="F9" s="1">
        <v>0</v>
      </c>
      <c r="G9" s="1">
        <v>0</v>
      </c>
      <c r="H9" s="1">
        <v>0</v>
      </c>
      <c r="I9" s="1">
        <v>0</v>
      </c>
    </row>
    <row r="10" spans="1:9" x14ac:dyDescent="0.25">
      <c r="A10" s="7" t="s">
        <v>10</v>
      </c>
      <c r="B10" s="1">
        <v>30</v>
      </c>
      <c r="C10" s="1">
        <v>5</v>
      </c>
      <c r="D10" s="1">
        <v>0</v>
      </c>
      <c r="E10" s="1">
        <v>4</v>
      </c>
      <c r="F10" s="1">
        <v>6</v>
      </c>
      <c r="G10" s="1">
        <v>5</v>
      </c>
      <c r="H10" s="1">
        <v>0</v>
      </c>
      <c r="I10" s="1">
        <v>12</v>
      </c>
    </row>
    <row r="11" spans="1:9" x14ac:dyDescent="0.25">
      <c r="A11" s="8" t="s">
        <v>18</v>
      </c>
      <c r="B11" s="2">
        <v>10</v>
      </c>
      <c r="C11" s="2">
        <v>0</v>
      </c>
      <c r="D11" s="2">
        <v>0</v>
      </c>
      <c r="E11" s="2">
        <v>5</v>
      </c>
      <c r="F11" s="2">
        <v>0</v>
      </c>
      <c r="G11" s="2">
        <v>0</v>
      </c>
      <c r="H11" s="2">
        <v>5</v>
      </c>
      <c r="I11" s="2">
        <v>0</v>
      </c>
    </row>
    <row r="12" spans="1:9" x14ac:dyDescent="0.25">
      <c r="A12" s="3" t="s">
        <v>8</v>
      </c>
      <c r="B12" s="4">
        <f>SUM($B$2:$B$11)</f>
        <v>188</v>
      </c>
      <c r="C12" s="4">
        <f t="shared" ref="C12:I12" si="0">IF(SUM(C2:C11)&gt;0,B12-SUM(C2:C11),"")</f>
        <v>163</v>
      </c>
      <c r="D12" s="4">
        <f t="shared" si="0"/>
        <v>145</v>
      </c>
      <c r="E12" s="4">
        <f t="shared" si="0"/>
        <v>124</v>
      </c>
      <c r="F12" s="4">
        <f t="shared" si="0"/>
        <v>101</v>
      </c>
      <c r="G12" s="4">
        <f t="shared" si="0"/>
        <v>77</v>
      </c>
      <c r="H12" s="4">
        <f t="shared" si="0"/>
        <v>59</v>
      </c>
      <c r="I12" s="4">
        <f t="shared" si="0"/>
        <v>28</v>
      </c>
    </row>
    <row r="13" spans="1:9" x14ac:dyDescent="0.25">
      <c r="A13" s="3" t="s">
        <v>9</v>
      </c>
      <c r="B13" s="4">
        <f>SUM($B$2:$B$11)</f>
        <v>188</v>
      </c>
      <c r="C13" s="4">
        <f t="shared" ref="C13:I13" si="1">B13-($B$13/COUNTA($C$1:$I$1))</f>
        <v>161.14285714285714</v>
      </c>
      <c r="D13" s="4">
        <f t="shared" si="1"/>
        <v>134.28571428571428</v>
      </c>
      <c r="E13" s="4">
        <f t="shared" si="1"/>
        <v>107.42857142857142</v>
      </c>
      <c r="F13" s="4">
        <f t="shared" si="1"/>
        <v>80.571428571428555</v>
      </c>
      <c r="G13" s="4">
        <f t="shared" si="1"/>
        <v>53.714285714285694</v>
      </c>
      <c r="H13" s="4">
        <f t="shared" si="1"/>
        <v>26.857142857142836</v>
      </c>
      <c r="I13" s="4">
        <f t="shared" si="1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2016-06-19T15:56:58Z</cp:lastPrinted>
  <dcterms:created xsi:type="dcterms:W3CDTF">2016-06-19T15:11:06Z</dcterms:created>
  <dcterms:modified xsi:type="dcterms:W3CDTF">2020-01-21T15:12:26Z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81715032-625f-4924-9a10-2eb86fd34d09</vt:lpwstr>
  </property>
</Properties>
</file>