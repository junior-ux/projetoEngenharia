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EDILEYSONSILVA\Documents\CIENCIA DA COMPUTAÇÃO\PROJETO ENGENHARIA DE SOFTWARE\projetoEngenharia\"/>
    </mc:Choice>
  </mc:AlternateContent>
  <bookViews>
    <workbookView xWindow="0" yWindow="0" windowWidth="13755" windowHeight="463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OFFSET(Atividades!$B$12,0,0,1,COUNT(Atividades!$B$12:$I$12))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B12" i="1"/>
  <c r="C12" i="1" l="1"/>
  <c r="D12" i="1" s="1"/>
  <c r="E12" i="1" l="1"/>
  <c r="F12" i="1" s="1"/>
  <c r="G12" i="1" s="1"/>
  <c r="H12" i="1" s="1"/>
  <c r="I12" i="1" s="1"/>
</calcChain>
</file>

<file path=xl/sharedStrings.xml><?xml version="1.0" encoding="utf-8"?>
<sst xmlns="http://schemas.openxmlformats.org/spreadsheetml/2006/main" count="20" uniqueCount="20">
  <si>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</si>
  <si>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</si>
  <si>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</si>
  <si>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</si>
  <si>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</si>
  <si>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</si>
  <si>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</si>
  <si>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</si>
  <si>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</si>
  <si>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</si>
  <si>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Alteração do templete</t>
  </si>
  <si>
    <t>Pagina de login</t>
  </si>
  <si>
    <t>Pagina de cadastro</t>
  </si>
  <si>
    <t>Pagina Inicio ADM</t>
  </si>
  <si>
    <t>Burndown completo</t>
  </si>
  <si>
    <t>Juntar CSS e HTML</t>
  </si>
  <si>
    <t>Linkar paginas na barra</t>
  </si>
  <si>
    <t>Pagina "Informações e duvidas"</t>
  </si>
  <si>
    <t>Pagina "sobre nois"</t>
  </si>
  <si>
    <t>Pagina Inicial da Plataforma com os botoes "Criar evento e "login"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</si>
</sst>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127</c:v>
                </c:pt>
                <c:pt idx="1">
                  <c:v>102</c:v>
                </c:pt>
                <c:pt idx="2">
                  <c:v>88</c:v>
                </c:pt>
                <c:pt idx="3">
                  <c:v>66</c:v>
                </c:pt>
                <c:pt idx="4">
                  <c:v>38</c:v>
                </c:pt>
                <c:pt idx="5">
                  <c:v>15</c:v>
                </c:pt>
                <c:pt idx="6">
                  <c:v>9</c:v>
                </c:pt>
                <c:pt idx="7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127</c:v>
                </c:pt>
                <c:pt idx="1">
                  <c:v>108.85714285714286</c:v>
                </c:pt>
                <c:pt idx="2">
                  <c:v>90.714285714285722</c:v>
                </c:pt>
                <c:pt idx="3">
                  <c:v>72.571428571428584</c:v>
                </c:pt>
                <c:pt idx="4">
                  <c:v>54.428571428571445</c:v>
                </c:pt>
                <c:pt idx="5">
                  <c:v>36.285714285714306</c:v>
                </c:pt>
                <c:pt idx="6">
                  <c:v>18.142857142857164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234247216"/>
        <c:axId val="234294568"/>
      </c:lineChart>
      <c:catAx>
        <c:axId val="23424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294568"/>
        <c:crosses val="autoZero"/>
        <c:auto val="1"/>
        <c:lblAlgn val="ctr"/>
        <c:lblOffset val="100"/>
        <c:noMultiLvlLbl val="0"/>
      </c:catAx>
      <c:valAx>
        <c:axId val="234294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24721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127</c:v>
                </c:pt>
                <c:pt idx="1">
                  <c:v>102</c:v>
                </c:pt>
                <c:pt idx="2">
                  <c:v>88</c:v>
                </c:pt>
                <c:pt idx="3">
                  <c:v>66</c:v>
                </c:pt>
                <c:pt idx="4">
                  <c:v>38</c:v>
                </c:pt>
                <c:pt idx="5">
                  <c:v>15</c:v>
                </c:pt>
                <c:pt idx="6">
                  <c:v>9</c:v>
                </c:pt>
                <c:pt idx="7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127</c:v>
                </c:pt>
                <c:pt idx="1">
                  <c:v>108.85714285714286</c:v>
                </c:pt>
                <c:pt idx="2">
                  <c:v>90.714285714285722</c:v>
                </c:pt>
                <c:pt idx="3">
                  <c:v>72.571428571428584</c:v>
                </c:pt>
                <c:pt idx="4">
                  <c:v>54.428571428571445</c:v>
                </c:pt>
                <c:pt idx="5">
                  <c:v>36.285714285714306</c:v>
                </c:pt>
                <c:pt idx="6">
                  <c:v>18.142857142857164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76632"/>
        <c:axId val="233964456"/>
      </c:lineChart>
      <c:catAx>
        <c:axId val="235076632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3964456"/>
        <c:crosses val="autoZero"/>
        <c:auto val="1"/>
        <c:lblAlgn val="ctr"/>
        <c:lblOffset val="100"/>
        <c:noMultiLvlLbl val="0"/>
      </c:catAx>
      <c:valAx>
        <c:axId val="233964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76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127</c:v>
                </c:pt>
                <c:pt idx="1">
                  <c:v>102</c:v>
                </c:pt>
                <c:pt idx="2">
                  <c:v>88</c:v>
                </c:pt>
                <c:pt idx="3">
                  <c:v>66</c:v>
                </c:pt>
                <c:pt idx="4">
                  <c:v>38</c:v>
                </c:pt>
                <c:pt idx="5">
                  <c:v>15</c:v>
                </c:pt>
                <c:pt idx="6">
                  <c:v>9</c:v>
                </c:pt>
                <c:pt idx="7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127</c:v>
                </c:pt>
                <c:pt idx="1">
                  <c:v>108.85714285714286</c:v>
                </c:pt>
                <c:pt idx="2">
                  <c:v>90.714285714285722</c:v>
                </c:pt>
                <c:pt idx="3">
                  <c:v>72.571428571428584</c:v>
                </c:pt>
                <c:pt idx="4">
                  <c:v>54.428571428571445</c:v>
                </c:pt>
                <c:pt idx="5">
                  <c:v>36.285714285714306</c:v>
                </c:pt>
                <c:pt idx="6">
                  <c:v>18.142857142857164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3963672"/>
        <c:axId val="233967200"/>
      </c:lineChart>
      <c:catAx>
        <c:axId val="233963672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3967200"/>
        <c:crosses val="autoZero"/>
        <c:auto val="1"/>
        <c:lblAlgn val="ctr"/>
        <c:lblOffset val="100"/>
        <c:noMultiLvlLbl val="0"/>
      </c:catAx>
      <c:valAx>
        <c:axId val="233967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3963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0</xdr:row>
      <xdr:rowOff>47625</xdr:rowOff>
    </xdr:from>
    <xdr:to>
      <xdr:col>16</xdr:col>
      <xdr:colOff>485775</xdr:colOff>
      <xdr:row>15</xdr:row>
      <xdr:rowOff>123825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activeCell="I6" sqref="I6"/>
    </sheetView>
  </sheetViews>
  <sheetFormatPr defaultRowHeight="15" x14ac:dyDescent="0.25"/>
  <cols>
    <col min="1" max="1" width="21.140625" bestFit="1" customWidth="1"/>
    <col min="2" max="2" width="13.5703125" bestFit="1" customWidth="1"/>
  </cols>
  <sheetData>
    <row r="1" spans="1:9" x14ac:dyDescent="0.25">
      <c r="B1" s="9" t="s">
        <v>7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</row>
    <row r="2" spans="1:9" x14ac:dyDescent="0.25">
      <c r="A2" s="5" t="s">
        <v>13</v>
      </c>
      <c r="B2" s="6">
        <v>20</v>
      </c>
      <c r="C2" s="6">
        <v>3</v>
      </c>
      <c r="D2" s="6">
        <v>0</v>
      </c>
      <c r="E2" s="6">
        <v>3</v>
      </c>
      <c r="F2" s="6">
        <v>5</v>
      </c>
      <c r="G2" s="6">
        <v>5</v>
      </c>
      <c r="H2" s="6">
        <v>0</v>
      </c>
      <c r="I2" s="6">
        <v>0</v>
      </c>
    </row>
    <row r="3" spans="1:9" x14ac:dyDescent="0.25">
      <c r="A3" s="7" t="s">
        <v>14</v>
      </c>
      <c r="B3" s="1">
        <v>4</v>
      </c>
      <c r="C3" s="1">
        <v>4</v>
      </c>
      <c r="D3" s="1">
        <v>0</v>
      </c>
      <c r="E3" s="1">
        <v>0</v>
      </c>
      <c r="F3" s="1">
        <v>0</v>
      </c>
      <c r="G3" s="1">
        <v>5</v>
      </c>
      <c r="H3" s="1">
        <v>0</v>
      </c>
      <c r="I3" s="1">
        <v>0</v>
      </c>
    </row>
    <row r="4" spans="1:9" x14ac:dyDescent="0.25">
      <c r="A4" s="7" t="s">
        <v>15</v>
      </c>
      <c r="B4" s="1">
        <v>5</v>
      </c>
      <c r="C4" s="1">
        <v>0</v>
      </c>
      <c r="D4" s="1">
        <v>0</v>
      </c>
      <c r="E4" s="1">
        <v>0</v>
      </c>
      <c r="F4" s="1">
        <v>2</v>
      </c>
      <c r="G4" s="1">
        <v>0</v>
      </c>
      <c r="H4" s="1">
        <v>0</v>
      </c>
      <c r="I4" s="1">
        <v>3</v>
      </c>
    </row>
    <row r="5" spans="1:9" x14ac:dyDescent="0.25">
      <c r="A5" s="7" t="s">
        <v>16</v>
      </c>
      <c r="B5" s="1">
        <v>5</v>
      </c>
      <c r="C5" s="1">
        <v>0</v>
      </c>
      <c r="D5" s="1">
        <v>0</v>
      </c>
      <c r="E5" s="1">
        <v>4</v>
      </c>
      <c r="F5" s="1">
        <v>2</v>
      </c>
      <c r="G5" s="1">
        <v>0</v>
      </c>
      <c r="H5" s="1">
        <v>0</v>
      </c>
      <c r="I5" s="1">
        <v>0</v>
      </c>
    </row>
    <row r="6" spans="1:9" x14ac:dyDescent="0.25">
      <c r="A6" s="7" t="s">
        <v>17</v>
      </c>
      <c r="B6" s="1">
        <v>20</v>
      </c>
      <c r="C6" s="1">
        <v>4</v>
      </c>
      <c r="D6" s="1">
        <v>4</v>
      </c>
      <c r="E6" s="1">
        <v>5</v>
      </c>
      <c r="F6" s="1">
        <v>3</v>
      </c>
      <c r="G6" s="1">
        <v>4</v>
      </c>
      <c r="H6" s="1">
        <v>0</v>
      </c>
      <c r="I6" s="1">
        <v>4</v>
      </c>
    </row>
    <row r="7" spans="1:9" x14ac:dyDescent="0.25">
      <c r="A7" s="7" t="s">
        <v>18</v>
      </c>
      <c r="B7" s="1">
        <v>15</v>
      </c>
      <c r="C7" s="1">
        <v>4</v>
      </c>
      <c r="D7" s="1">
        <v>0</v>
      </c>
      <c r="E7" s="1">
        <v>0</v>
      </c>
      <c r="F7" s="1">
        <v>5</v>
      </c>
      <c r="G7" s="1">
        <v>5</v>
      </c>
      <c r="H7" s="1">
        <v>0</v>
      </c>
      <c r="I7" s="1">
        <v>0</v>
      </c>
    </row>
    <row r="8" spans="1:9" x14ac:dyDescent="0.25">
      <c r="A8" s="7" t="s">
        <v>19</v>
      </c>
      <c r="B8" s="1">
        <v>24</v>
      </c>
      <c r="C8" s="1">
        <v>5</v>
      </c>
      <c r="D8" s="1">
        <v>2</v>
      </c>
      <c r="E8" s="1">
        <v>5</v>
      </c>
      <c r="F8" s="1">
        <v>5</v>
      </c>
      <c r="G8" s="1">
        <v>0</v>
      </c>
      <c r="H8" s="1">
        <v>0</v>
      </c>
      <c r="I8" s="1">
        <v>3</v>
      </c>
    </row>
    <row r="9" spans="1:9" x14ac:dyDescent="0.25">
      <c r="A9" s="7" t="s">
        <v>10</v>
      </c>
      <c r="B9" s="1">
        <v>4</v>
      </c>
      <c r="C9" s="1">
        <v>0</v>
      </c>
      <c r="D9" s="1">
        <v>4</v>
      </c>
      <c r="E9" s="1">
        <v>0</v>
      </c>
      <c r="F9" s="1">
        <v>0</v>
      </c>
      <c r="G9" s="1">
        <v>0</v>
      </c>
      <c r="H9" s="1">
        <v>0</v>
      </c>
      <c r="I9" s="1">
        <v>0</v>
      </c>
    </row>
    <row r="10" spans="1:9" x14ac:dyDescent="0.25">
      <c r="A10" s="7" t="s">
        <v>11</v>
      </c>
      <c r="B10" s="1">
        <v>15</v>
      </c>
      <c r="C10" s="1">
        <v>0</v>
      </c>
      <c r="D10" s="1">
        <v>4</v>
      </c>
      <c r="E10" s="1">
        <v>5</v>
      </c>
      <c r="F10" s="1">
        <v>6</v>
      </c>
      <c r="G10" s="1">
        <v>0</v>
      </c>
      <c r="H10" s="1">
        <v>0</v>
      </c>
      <c r="I10" s="1">
        <v>0</v>
      </c>
    </row>
    <row r="11" spans="1:9" x14ac:dyDescent="0.25">
      <c r="A11" s="8" t="s">
        <v>12</v>
      </c>
      <c r="B11" s="2">
        <v>15</v>
      </c>
      <c r="C11" s="2">
        <v>5</v>
      </c>
      <c r="D11" s="2">
        <v>0</v>
      </c>
      <c r="E11" s="2">
        <v>0</v>
      </c>
      <c r="F11" s="2">
        <v>0</v>
      </c>
      <c r="G11" s="2">
        <v>4</v>
      </c>
      <c r="H11" s="2">
        <v>6</v>
      </c>
      <c r="I11" s="2">
        <v>0</v>
      </c>
    </row>
    <row r="12" spans="1:9" x14ac:dyDescent="0.25">
      <c r="A12" s="3" t="s">
        <v>8</v>
      </c>
      <c r="B12" s="4">
        <f>SUM($B$2:$B$11)</f>
        <v>127</v>
      </c>
      <c r="C12" s="4">
        <f t="shared" ref="C12:I12" si="0">IF(SUM(C2:C11)&gt;0,B12-SUM(C2:C11),"")</f>
        <v>102</v>
      </c>
      <c r="D12" s="4">
        <f t="shared" si="0"/>
        <v>88</v>
      </c>
      <c r="E12" s="4">
        <f t="shared" si="0"/>
        <v>66</v>
      </c>
      <c r="F12" s="4">
        <f t="shared" si="0"/>
        <v>38</v>
      </c>
      <c r="G12" s="4">
        <f t="shared" si="0"/>
        <v>15</v>
      </c>
      <c r="H12" s="4">
        <f t="shared" si="0"/>
        <v>9</v>
      </c>
      <c r="I12" s="4">
        <f t="shared" si="0"/>
        <v>-1</v>
      </c>
    </row>
    <row r="13" spans="1:9" x14ac:dyDescent="0.25">
      <c r="A13" s="3" t="s">
        <v>9</v>
      </c>
      <c r="B13" s="4">
        <f>SUM($B$2:$B$11)</f>
        <v>127</v>
      </c>
      <c r="C13" s="4">
        <f t="shared" ref="C13:I13" si="1">B13-($B$13/COUNTA($C$1:$I$1))</f>
        <v>108.85714285714286</v>
      </c>
      <c r="D13" s="4">
        <f t="shared" si="1"/>
        <v>90.714285714285722</v>
      </c>
      <c r="E13" s="4">
        <f t="shared" si="1"/>
        <v>72.571428571428584</v>
      </c>
      <c r="F13" s="4">
        <f t="shared" si="1"/>
        <v>54.428571428571445</v>
      </c>
      <c r="G13" s="4">
        <f t="shared" si="1"/>
        <v>36.285714285714306</v>
      </c>
      <c r="H13" s="4">
        <f t="shared" si="1"/>
        <v>18.142857142857164</v>
      </c>
      <c r="I13" s="4">
        <f t="shared" si="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2019-11-05T17:23:33Z</dcterms:modified>
</cp:coreProperties>
</file>